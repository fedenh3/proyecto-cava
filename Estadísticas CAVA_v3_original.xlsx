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_CAVA\"/>
    </mc:Choice>
  </mc:AlternateContent>
  <xr:revisionPtr revIDLastSave="0" documentId="13_ncr:1_{6D0B6004-4EAD-48BB-99F2-AECF07657AD8}" xr6:coauthVersionLast="47" xr6:coauthVersionMax="47" xr10:uidLastSave="{00000000-0000-0000-0000-000000000000}"/>
  <bookViews>
    <workbookView xWindow="-120" yWindow="-120" windowWidth="29040" windowHeight="15720" tabRatio="764" activeTab="4" xr2:uid="{00000000-000D-0000-FFFF-FFFF00000000}"/>
  </bookViews>
  <sheets>
    <sheet name="Resultados" sheetId="19" r:id="rId1"/>
    <sheet name="Jugadores" sheetId="23" r:id="rId2"/>
    <sheet name="Estadísticas" sheetId="9" r:id="rId3"/>
    <sheet name="Posición" sheetId="27" r:id="rId4"/>
    <sheet name="Directores Técnicos" sheetId="8" r:id="rId5"/>
    <sheet name="Goleadores" sheetId="5" r:id="rId6"/>
    <sheet name="Penales" sheetId="26" r:id="rId7"/>
    <sheet name="Plantel 2025" sheetId="3" r:id="rId8"/>
    <sheet name="Plantel 2024" sheetId="1" r:id="rId9"/>
    <sheet name="Plantel 2023" sheetId="11" r:id="rId10"/>
    <sheet name="Plantel 2022" sheetId="14" r:id="rId11"/>
    <sheet name="Plantel 2021" sheetId="15" r:id="rId12"/>
    <sheet name="Plantel Transición 2020" sheetId="21" r:id="rId13"/>
    <sheet name="Plantel 2019-2020" sheetId="24" r:id="rId14"/>
    <sheet name="Plantel 2018-2019" sheetId="25" r:id="rId15"/>
  </sheets>
  <definedNames>
    <definedName name="_xlnm._FilterDatabase" localSheetId="5" hidden="1">Goleadores!$C$1:$L$247</definedName>
    <definedName name="_xlnm._FilterDatabase" localSheetId="1" hidden="1">Jugadores!$A$2:$P$155</definedName>
    <definedName name="_xlnm._FilterDatabase" localSheetId="6" hidden="1">Penales!$L$2:$M$48</definedName>
    <definedName name="_xlnm._FilterDatabase" localSheetId="14" hidden="1">'Plantel 2018-2019'!$D$2:$E$35</definedName>
    <definedName name="_xlnm._FilterDatabase" localSheetId="13" hidden="1">'Plantel 2019-2020'!$D$2:$G$37</definedName>
    <definedName name="_xlnm._FilterDatabase" localSheetId="11" hidden="1">'Plantel 2021'!$D$2:$G$43</definedName>
    <definedName name="_xlnm._FilterDatabase" localSheetId="10" hidden="1">'Plantel 2022'!$D$2:$G$41</definedName>
    <definedName name="_xlnm._FilterDatabase" localSheetId="9" hidden="1">'Plantel 2023'!$D$2:$E$44</definedName>
    <definedName name="_xlnm._FilterDatabase" localSheetId="8" hidden="1">'Plantel 2024'!$D$2:$G$43</definedName>
    <definedName name="_xlnm._FilterDatabase" localSheetId="7" hidden="1">'Plantel 2025'!$D$2:$E$36</definedName>
    <definedName name="_xlnm._FilterDatabase" localSheetId="12" hidden="1">'Plantel Transición 2020'!$D$2:$E$38</definedName>
    <definedName name="_xlnm._FilterDatabase" localSheetId="0" hidden="1">Resultados!$A$2:$O$255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3" l="1"/>
  <c r="AM5" i="3"/>
  <c r="AM24" i="3"/>
  <c r="AM25" i="3"/>
  <c r="AM17" i="3"/>
  <c r="AM31" i="3"/>
  <c r="M14" i="8"/>
  <c r="L14" i="8"/>
  <c r="N13" i="8"/>
  <c r="N12" i="8"/>
  <c r="N11" i="8"/>
  <c r="N10" i="8"/>
  <c r="AM32" i="3"/>
  <c r="AM30" i="3"/>
  <c r="AM12" i="3"/>
  <c r="AM29" i="3"/>
  <c r="AM7" i="3"/>
  <c r="AM27" i="3"/>
  <c r="AM15" i="3"/>
  <c r="AM8" i="3"/>
  <c r="D12" i="9"/>
  <c r="D11" i="9"/>
  <c r="Z11" i="9" s="1"/>
  <c r="D10" i="9"/>
  <c r="D9" i="9"/>
  <c r="D8" i="9"/>
  <c r="D7" i="9"/>
  <c r="D6" i="9"/>
  <c r="D5" i="9"/>
  <c r="Z5" i="9" s="1"/>
  <c r="D4" i="9"/>
  <c r="G12" i="9"/>
  <c r="G11" i="9"/>
  <c r="G10" i="9"/>
  <c r="G9" i="9"/>
  <c r="G8" i="9"/>
  <c r="G7" i="9"/>
  <c r="G6" i="9"/>
  <c r="G5" i="9"/>
  <c r="G4" i="9"/>
  <c r="J12" i="9"/>
  <c r="J11" i="9"/>
  <c r="J10" i="9"/>
  <c r="J9" i="9"/>
  <c r="J8" i="9"/>
  <c r="J7" i="9"/>
  <c r="J6" i="9"/>
  <c r="J5" i="9"/>
  <c r="J4" i="9"/>
  <c r="M12" i="9"/>
  <c r="M11" i="9"/>
  <c r="M10" i="9"/>
  <c r="M9" i="9"/>
  <c r="M8" i="9"/>
  <c r="M7" i="9"/>
  <c r="M6" i="9"/>
  <c r="M5" i="9"/>
  <c r="M4" i="9"/>
  <c r="P12" i="9"/>
  <c r="P11" i="9"/>
  <c r="P10" i="9"/>
  <c r="P9" i="9"/>
  <c r="P8" i="9"/>
  <c r="P7" i="9"/>
  <c r="P6" i="9"/>
  <c r="P5" i="9"/>
  <c r="P4" i="9"/>
  <c r="S12" i="9"/>
  <c r="S11" i="9"/>
  <c r="S10" i="9"/>
  <c r="S9" i="9"/>
  <c r="S8" i="9"/>
  <c r="S7" i="9"/>
  <c r="S6" i="9"/>
  <c r="S5" i="9"/>
  <c r="S4" i="9"/>
  <c r="V12" i="9"/>
  <c r="V11" i="9"/>
  <c r="V10" i="9"/>
  <c r="V9" i="9"/>
  <c r="V8" i="9"/>
  <c r="V7" i="9"/>
  <c r="V6" i="9"/>
  <c r="V5" i="9"/>
  <c r="V4" i="9"/>
  <c r="Q5" i="26"/>
  <c r="P5" i="26"/>
  <c r="H14" i="8"/>
  <c r="G14" i="8"/>
  <c r="C14" i="8"/>
  <c r="B14" i="8"/>
  <c r="M7" i="8"/>
  <c r="L7" i="8"/>
  <c r="H7" i="8"/>
  <c r="G7" i="8"/>
  <c r="C7" i="8"/>
  <c r="B7" i="8"/>
  <c r="D36" i="3"/>
  <c r="G36" i="3"/>
  <c r="G35" i="3"/>
  <c r="F36" i="3"/>
  <c r="E36" i="3"/>
  <c r="AM4" i="3"/>
  <c r="AM6" i="3"/>
  <c r="AM9" i="3"/>
  <c r="AM10" i="3"/>
  <c r="AM11" i="3"/>
  <c r="AM13" i="3"/>
  <c r="AM14" i="3"/>
  <c r="AM16" i="3"/>
  <c r="AM18" i="3"/>
  <c r="AM19" i="3"/>
  <c r="AM20" i="3"/>
  <c r="AM21" i="3"/>
  <c r="AM23" i="3"/>
  <c r="AM26" i="3"/>
  <c r="AM28" i="3"/>
  <c r="AM33" i="3"/>
  <c r="AM3" i="3"/>
  <c r="E35" i="25"/>
  <c r="G35" i="25"/>
  <c r="F35" i="25"/>
  <c r="D34" i="25"/>
  <c r="D35" i="25"/>
  <c r="AW14" i="25"/>
  <c r="AW9" i="25"/>
  <c r="AW16" i="25"/>
  <c r="AW6" i="25"/>
  <c r="AW7" i="25"/>
  <c r="AW8" i="25"/>
  <c r="AW10" i="25"/>
  <c r="AW11" i="25"/>
  <c r="AW12" i="25"/>
  <c r="AW13" i="25"/>
  <c r="AW15" i="25"/>
  <c r="AW17" i="25"/>
  <c r="AW18" i="25"/>
  <c r="AW19" i="25"/>
  <c r="AW20" i="25"/>
  <c r="AW21" i="25"/>
  <c r="AW22" i="25"/>
  <c r="AW23" i="25"/>
  <c r="AW24" i="25"/>
  <c r="AW25" i="25"/>
  <c r="AW26" i="25"/>
  <c r="AW27" i="25"/>
  <c r="AW28" i="25"/>
  <c r="AW29" i="25"/>
  <c r="AW30" i="25"/>
  <c r="AW31" i="25"/>
  <c r="AW32" i="25"/>
  <c r="Y12" i="9"/>
  <c r="Y11" i="9"/>
  <c r="Y10" i="9"/>
  <c r="Y9" i="9"/>
  <c r="Y8" i="9"/>
  <c r="Y7" i="9"/>
  <c r="Y6" i="9"/>
  <c r="Y5" i="9"/>
  <c r="Y4" i="9"/>
  <c r="AW5" i="25"/>
  <c r="AW4" i="25"/>
  <c r="AW3" i="25"/>
  <c r="AO35" i="1"/>
  <c r="AO34" i="1"/>
  <c r="AO22" i="1"/>
  <c r="AO16" i="1"/>
  <c r="Z10" i="9" l="1"/>
  <c r="Z8" i="9"/>
  <c r="Z4" i="9"/>
  <c r="Z12" i="9"/>
  <c r="Z6" i="9"/>
  <c r="Z9" i="9"/>
  <c r="Z7" i="9"/>
  <c r="N14" i="8"/>
  <c r="G34" i="25"/>
  <c r="F34" i="25"/>
  <c r="E34" i="25"/>
  <c r="AR13" i="24"/>
  <c r="AI13" i="24"/>
  <c r="AS13" i="24" s="1"/>
  <c r="AR17" i="24"/>
  <c r="AI17" i="24"/>
  <c r="AR22" i="24"/>
  <c r="AI22" i="24"/>
  <c r="AR14" i="24"/>
  <c r="AI14" i="24"/>
  <c r="AI5" i="24"/>
  <c r="AI6" i="24"/>
  <c r="AI7" i="24"/>
  <c r="AI8" i="24"/>
  <c r="AI9" i="24"/>
  <c r="AI10" i="24"/>
  <c r="AI11" i="24"/>
  <c r="AI12" i="24"/>
  <c r="AI15" i="24"/>
  <c r="AI16" i="24"/>
  <c r="AI18" i="24"/>
  <c r="AI19" i="24"/>
  <c r="AI20" i="24"/>
  <c r="AI21" i="24"/>
  <c r="AI23" i="24"/>
  <c r="AI24" i="24"/>
  <c r="AI25" i="24"/>
  <c r="AI26" i="24"/>
  <c r="AI27" i="24"/>
  <c r="AI28" i="24"/>
  <c r="AI29" i="24"/>
  <c r="AI30" i="24"/>
  <c r="AI31" i="24"/>
  <c r="AI32" i="24"/>
  <c r="AI33" i="24"/>
  <c r="AI34" i="24"/>
  <c r="AI4" i="24"/>
  <c r="F38" i="21"/>
  <c r="F37" i="21"/>
  <c r="G37" i="21"/>
  <c r="G38" i="21"/>
  <c r="E38" i="21"/>
  <c r="E37" i="21"/>
  <c r="D38" i="21"/>
  <c r="D37" i="21"/>
  <c r="AR34" i="24"/>
  <c r="AR33" i="24"/>
  <c r="AR32" i="24"/>
  <c r="AR31" i="24"/>
  <c r="AR30" i="24"/>
  <c r="AR29" i="24"/>
  <c r="AR28" i="24"/>
  <c r="AR27" i="24"/>
  <c r="AR26" i="24"/>
  <c r="AR25" i="24"/>
  <c r="AR24" i="24"/>
  <c r="AR23" i="24"/>
  <c r="AR21" i="24"/>
  <c r="AR20" i="24"/>
  <c r="AR19" i="24"/>
  <c r="AR18" i="24"/>
  <c r="AR16" i="24"/>
  <c r="AR15" i="24"/>
  <c r="AR12" i="24"/>
  <c r="AR11" i="24"/>
  <c r="AR10" i="24"/>
  <c r="AR9" i="24"/>
  <c r="AR8" i="24"/>
  <c r="AR7" i="24"/>
  <c r="AR6" i="24"/>
  <c r="AR5" i="24"/>
  <c r="AR4" i="24"/>
  <c r="K36" i="24"/>
  <c r="J36" i="24"/>
  <c r="I36" i="24"/>
  <c r="H36" i="24"/>
  <c r="G36" i="24"/>
  <c r="F36" i="24"/>
  <c r="E36" i="24"/>
  <c r="D36" i="24"/>
  <c r="P30" i="21"/>
  <c r="P27" i="21"/>
  <c r="P21" i="21"/>
  <c r="P31" i="21"/>
  <c r="P23" i="21"/>
  <c r="P17" i="21"/>
  <c r="P9" i="21"/>
  <c r="P29" i="21"/>
  <c r="P3" i="21"/>
  <c r="P5" i="21"/>
  <c r="P6" i="21"/>
  <c r="P7" i="21"/>
  <c r="P8" i="21"/>
  <c r="P10" i="21"/>
  <c r="P11" i="21"/>
  <c r="P12" i="21"/>
  <c r="P13" i="21"/>
  <c r="P14" i="21"/>
  <c r="P15" i="21"/>
  <c r="P16" i="21"/>
  <c r="P18" i="21"/>
  <c r="P19" i="21"/>
  <c r="P20" i="21"/>
  <c r="P22" i="21"/>
  <c r="P24" i="21"/>
  <c r="P25" i="21"/>
  <c r="P26" i="21"/>
  <c r="P28" i="21"/>
  <c r="P32" i="21"/>
  <c r="P33" i="21"/>
  <c r="P34" i="21"/>
  <c r="P35" i="21"/>
  <c r="P4" i="21"/>
  <c r="D6" i="8"/>
  <c r="D5" i="8"/>
  <c r="D4" i="8"/>
  <c r="D7" i="8" s="1"/>
  <c r="D3" i="8"/>
  <c r="I42" i="1"/>
  <c r="H42" i="1"/>
  <c r="BN27" i="1"/>
  <c r="AO27" i="1"/>
  <c r="BN29" i="1"/>
  <c r="AO29" i="1"/>
  <c r="I40" i="14"/>
  <c r="BB35" i="14"/>
  <c r="AI35" i="14"/>
  <c r="BB32" i="14"/>
  <c r="AI32" i="14"/>
  <c r="I42" i="15"/>
  <c r="BB19" i="15"/>
  <c r="AI19" i="15"/>
  <c r="BB24" i="15"/>
  <c r="AI24" i="15"/>
  <c r="BB35" i="15"/>
  <c r="AI35" i="15"/>
  <c r="AI37" i="15"/>
  <c r="BB37" i="15"/>
  <c r="BB26" i="15"/>
  <c r="AI26" i="15"/>
  <c r="BB22" i="15"/>
  <c r="AI22" i="15"/>
  <c r="BB10" i="15"/>
  <c r="BB5" i="15"/>
  <c r="BB16" i="15"/>
  <c r="BB18" i="15"/>
  <c r="AI18" i="15"/>
  <c r="AI5" i="15"/>
  <c r="AI16" i="15"/>
  <c r="AI10" i="15"/>
  <c r="BB27" i="15"/>
  <c r="BB14" i="15"/>
  <c r="AI27" i="15"/>
  <c r="AI14" i="15"/>
  <c r="AI39" i="15"/>
  <c r="BB39" i="15"/>
  <c r="BB20" i="15"/>
  <c r="BB4" i="15"/>
  <c r="AI20" i="15"/>
  <c r="AI4" i="15"/>
  <c r="BB11" i="15"/>
  <c r="BB12" i="15"/>
  <c r="BB13" i="15"/>
  <c r="BB15" i="15"/>
  <c r="BB17" i="15"/>
  <c r="BB21" i="15"/>
  <c r="BB23" i="15"/>
  <c r="BB25" i="15"/>
  <c r="BB28" i="15"/>
  <c r="BB29" i="15"/>
  <c r="BB30" i="15"/>
  <c r="BB31" i="15"/>
  <c r="BB32" i="15"/>
  <c r="BB33" i="15"/>
  <c r="BB34" i="15"/>
  <c r="BB36" i="15"/>
  <c r="BB38" i="15"/>
  <c r="AI11" i="15"/>
  <c r="AI12" i="15"/>
  <c r="AI13" i="15"/>
  <c r="AI15" i="15"/>
  <c r="AI17" i="15"/>
  <c r="AI21" i="15"/>
  <c r="AI23" i="15"/>
  <c r="AI25" i="15"/>
  <c r="AI28" i="15"/>
  <c r="AI29" i="15"/>
  <c r="AI30" i="15"/>
  <c r="AI31" i="15"/>
  <c r="AI32" i="15"/>
  <c r="AI33" i="15"/>
  <c r="AI34" i="15"/>
  <c r="AI36" i="15"/>
  <c r="AI38" i="15"/>
  <c r="BB7" i="15"/>
  <c r="BB8" i="15"/>
  <c r="BB9" i="15"/>
  <c r="BB40" i="15"/>
  <c r="BB6" i="15"/>
  <c r="AI8" i="15"/>
  <c r="AI9" i="15"/>
  <c r="AI40" i="15"/>
  <c r="AI7" i="15"/>
  <c r="AI6" i="15"/>
  <c r="K42" i="15"/>
  <c r="J42" i="15"/>
  <c r="H42" i="15"/>
  <c r="G42" i="15"/>
  <c r="F42" i="15"/>
  <c r="D42" i="15"/>
  <c r="H43" i="15" l="1"/>
  <c r="BC35" i="14"/>
  <c r="AS17" i="24"/>
  <c r="BO29" i="1"/>
  <c r="BC32" i="14"/>
  <c r="BO27" i="1"/>
  <c r="AS22" i="24"/>
  <c r="AS14" i="24"/>
  <c r="AS9" i="24"/>
  <c r="AS24" i="24"/>
  <c r="AS33" i="24"/>
  <c r="AS29" i="24"/>
  <c r="AS25" i="24"/>
  <c r="AS20" i="24"/>
  <c r="AS15" i="24"/>
  <c r="AS11" i="24"/>
  <c r="AS12" i="24"/>
  <c r="AS6" i="24"/>
  <c r="F37" i="24"/>
  <c r="AS34" i="24"/>
  <c r="AS30" i="24"/>
  <c r="AS26" i="24"/>
  <c r="AS21" i="24"/>
  <c r="AS16" i="24"/>
  <c r="AS8" i="24"/>
  <c r="AS4" i="24"/>
  <c r="AS32" i="24"/>
  <c r="AS28" i="24"/>
  <c r="AS19" i="24"/>
  <c r="AS5" i="24"/>
  <c r="AS31" i="24"/>
  <c r="AS27" i="24"/>
  <c r="AS23" i="24"/>
  <c r="AS18" i="24"/>
  <c r="AS10" i="24"/>
  <c r="AS7" i="24"/>
  <c r="J37" i="24"/>
  <c r="H37" i="24"/>
  <c r="D37" i="24"/>
  <c r="BC24" i="15"/>
  <c r="BC19" i="15"/>
  <c r="BC35" i="15"/>
  <c r="BC26" i="15"/>
  <c r="BC37" i="15"/>
  <c r="BC22" i="15"/>
  <c r="BC18" i="15"/>
  <c r="BC16" i="15"/>
  <c r="BC5" i="15"/>
  <c r="BC10" i="15"/>
  <c r="BC14" i="15"/>
  <c r="BC27" i="15"/>
  <c r="BC13" i="15"/>
  <c r="BC39" i="15"/>
  <c r="BC36" i="15"/>
  <c r="BC32" i="15"/>
  <c r="BC28" i="15"/>
  <c r="BC17" i="15"/>
  <c r="BC11" i="15"/>
  <c r="BC4" i="15"/>
  <c r="BC33" i="15"/>
  <c r="BC20" i="15"/>
  <c r="BC34" i="15"/>
  <c r="BC31" i="15"/>
  <c r="BC25" i="15"/>
  <c r="BC15" i="15"/>
  <c r="BC30" i="15"/>
  <c r="BC21" i="15"/>
  <c r="BC23" i="15"/>
  <c r="BC38" i="15"/>
  <c r="BC29" i="15"/>
  <c r="BC12" i="15"/>
  <c r="D43" i="15"/>
  <c r="F43" i="15"/>
  <c r="BC40" i="15"/>
  <c r="BC9" i="15"/>
  <c r="BC7" i="15"/>
  <c r="BC8" i="15"/>
  <c r="BC6" i="15"/>
  <c r="J43" i="15"/>
  <c r="D40" i="14"/>
  <c r="BB5" i="14"/>
  <c r="AI5" i="14"/>
  <c r="F35" i="3"/>
  <c r="BB6" i="14"/>
  <c r="AI6" i="14"/>
  <c r="BB33" i="14"/>
  <c r="AI33" i="14"/>
  <c r="BB18" i="14"/>
  <c r="AI18" i="14"/>
  <c r="BB13" i="14"/>
  <c r="AI13" i="14"/>
  <c r="BB27" i="14"/>
  <c r="AI27" i="14"/>
  <c r="BB7" i="14"/>
  <c r="BB8" i="14"/>
  <c r="BB9" i="14"/>
  <c r="BB10" i="14"/>
  <c r="BB11" i="14"/>
  <c r="BB12" i="14"/>
  <c r="BB14" i="14"/>
  <c r="BB15" i="14"/>
  <c r="BB16" i="14"/>
  <c r="BB17" i="14"/>
  <c r="BB19" i="14"/>
  <c r="BB20" i="14"/>
  <c r="BB21" i="14"/>
  <c r="BB22" i="14"/>
  <c r="BB23" i="14"/>
  <c r="BB24" i="14"/>
  <c r="BB25" i="14"/>
  <c r="BB26" i="14"/>
  <c r="BB28" i="14"/>
  <c r="BB29" i="14"/>
  <c r="BB30" i="14"/>
  <c r="BB31" i="14"/>
  <c r="BB34" i="14"/>
  <c r="BB36" i="14"/>
  <c r="BB37" i="14"/>
  <c r="BB38" i="14"/>
  <c r="AI14" i="14"/>
  <c r="AI15" i="14"/>
  <c r="AI16" i="14"/>
  <c r="AI17" i="14"/>
  <c r="AI19" i="14"/>
  <c r="AI20" i="14"/>
  <c r="AI21" i="14"/>
  <c r="AI22" i="14"/>
  <c r="AI23" i="14"/>
  <c r="AI24" i="14"/>
  <c r="AI25" i="14"/>
  <c r="AI26" i="14"/>
  <c r="AI28" i="14"/>
  <c r="AI29" i="14"/>
  <c r="AI30" i="14"/>
  <c r="AI31" i="14"/>
  <c r="AI34" i="14"/>
  <c r="AI36" i="14"/>
  <c r="AI37" i="14"/>
  <c r="AI38" i="14"/>
  <c r="K40" i="14"/>
  <c r="J40" i="14"/>
  <c r="H40" i="14"/>
  <c r="H41" i="14" s="1"/>
  <c r="G40" i="14"/>
  <c r="F40" i="14"/>
  <c r="AI10" i="14"/>
  <c r="AI12" i="14"/>
  <c r="AI11" i="14"/>
  <c r="AI9" i="14"/>
  <c r="AI8" i="14"/>
  <c r="AI7" i="14"/>
  <c r="BB4" i="14"/>
  <c r="AI4" i="14"/>
  <c r="I6" i="8"/>
  <c r="I5" i="8"/>
  <c r="I4" i="8"/>
  <c r="I7" i="8" s="1"/>
  <c r="I3" i="8"/>
  <c r="D43" i="11"/>
  <c r="AU40" i="11"/>
  <c r="AU36" i="11"/>
  <c r="AU15" i="11"/>
  <c r="AU4" i="11"/>
  <c r="AU25" i="11"/>
  <c r="AU28" i="11"/>
  <c r="AU3" i="11"/>
  <c r="E42" i="1"/>
  <c r="AU6" i="11"/>
  <c r="E43" i="11"/>
  <c r="D44" i="11"/>
  <c r="F44" i="11"/>
  <c r="E44" i="11"/>
  <c r="G44" i="11"/>
  <c r="AU5" i="11"/>
  <c r="AU41" i="11"/>
  <c r="AU39" i="11"/>
  <c r="AU38" i="11"/>
  <c r="AU37" i="11"/>
  <c r="AU35" i="11"/>
  <c r="AU34" i="11"/>
  <c r="AU33" i="11"/>
  <c r="AU32" i="11"/>
  <c r="AU31" i="11"/>
  <c r="AU30" i="11"/>
  <c r="AU29" i="11"/>
  <c r="AU27" i="11"/>
  <c r="AU26" i="11"/>
  <c r="AU24" i="11"/>
  <c r="AU23" i="11"/>
  <c r="AU22" i="11"/>
  <c r="AU21" i="11"/>
  <c r="AU20" i="11"/>
  <c r="AU19" i="11"/>
  <c r="AU18" i="11"/>
  <c r="AU17" i="11"/>
  <c r="AU16" i="11"/>
  <c r="AU14" i="11"/>
  <c r="AU13" i="11"/>
  <c r="AU12" i="11"/>
  <c r="AU11" i="11"/>
  <c r="AU10" i="11"/>
  <c r="AU9" i="11"/>
  <c r="AU8" i="11"/>
  <c r="AU7" i="11"/>
  <c r="F43" i="11"/>
  <c r="G43" i="11"/>
  <c r="E35" i="3"/>
  <c r="D35" i="3"/>
  <c r="N6" i="8"/>
  <c r="N5" i="8"/>
  <c r="N4" i="8"/>
  <c r="N7" i="8" s="1"/>
  <c r="N3" i="8"/>
  <c r="D10" i="8"/>
  <c r="I10" i="8"/>
  <c r="I13" i="8"/>
  <c r="I12" i="8"/>
  <c r="I11" i="8"/>
  <c r="D13" i="8"/>
  <c r="D12" i="8"/>
  <c r="D11" i="8"/>
  <c r="D14" i="8" s="1"/>
  <c r="BN34" i="1"/>
  <c r="BO34" i="1" s="1"/>
  <c r="BN35" i="1"/>
  <c r="BO35" i="1" s="1"/>
  <c r="K42" i="1"/>
  <c r="J42" i="1"/>
  <c r="G42" i="1"/>
  <c r="F42" i="1"/>
  <c r="D42" i="1"/>
  <c r="BN16" i="1"/>
  <c r="BO16" i="1" s="1"/>
  <c r="BN22" i="1"/>
  <c r="BO22" i="1" s="1"/>
  <c r="BN31" i="1"/>
  <c r="BO31" i="1" s="1"/>
  <c r="BN30" i="1"/>
  <c r="AO30" i="1"/>
  <c r="BN4" i="1"/>
  <c r="BN32" i="1"/>
  <c r="BN40" i="1"/>
  <c r="BN39" i="1"/>
  <c r="BN38" i="1"/>
  <c r="BN37" i="1"/>
  <c r="BN36" i="1"/>
  <c r="BN33" i="1"/>
  <c r="BN28" i="1"/>
  <c r="BN26" i="1"/>
  <c r="BN25" i="1"/>
  <c r="BN24" i="1"/>
  <c r="BN23" i="1"/>
  <c r="BN21" i="1"/>
  <c r="BN20" i="1"/>
  <c r="BN19" i="1"/>
  <c r="BN9" i="1"/>
  <c r="BN18" i="1"/>
  <c r="BN17" i="1"/>
  <c r="BN15" i="1"/>
  <c r="BN14" i="1"/>
  <c r="BN13" i="1"/>
  <c r="BN12" i="1"/>
  <c r="BN11" i="1"/>
  <c r="BN10" i="1"/>
  <c r="BN8" i="1"/>
  <c r="BN7" i="1"/>
  <c r="BN6" i="1"/>
  <c r="BN5" i="1"/>
  <c r="AO36" i="1"/>
  <c r="AO37" i="1"/>
  <c r="AO38" i="1"/>
  <c r="AO39" i="1"/>
  <c r="AO40" i="1"/>
  <c r="AO32" i="1"/>
  <c r="AO4" i="1"/>
  <c r="AO19" i="1"/>
  <c r="AO20" i="1"/>
  <c r="AO21" i="1"/>
  <c r="AO23" i="1"/>
  <c r="AO24" i="1"/>
  <c r="AO25" i="1"/>
  <c r="AO26" i="1"/>
  <c r="AO28" i="1"/>
  <c r="AO17" i="1"/>
  <c r="AO18" i="1"/>
  <c r="AO9" i="1"/>
  <c r="AO33" i="1"/>
  <c r="AO15" i="1"/>
  <c r="AO14" i="1"/>
  <c r="AO13" i="1"/>
  <c r="AO12" i="1"/>
  <c r="AO11" i="1"/>
  <c r="AO10" i="1"/>
  <c r="AO8" i="1"/>
  <c r="AO7" i="1"/>
  <c r="AO6" i="1"/>
  <c r="AO5" i="1"/>
  <c r="I14" i="8" l="1"/>
  <c r="D43" i="1"/>
  <c r="BC5" i="14"/>
  <c r="D41" i="14"/>
  <c r="BC6" i="14"/>
  <c r="BC18" i="14"/>
  <c r="BC33" i="14"/>
  <c r="BC13" i="14"/>
  <c r="BC8" i="14"/>
  <c r="BC9" i="14"/>
  <c r="BC37" i="14"/>
  <c r="BC30" i="14"/>
  <c r="BC25" i="14"/>
  <c r="BC23" i="14"/>
  <c r="BC19" i="14"/>
  <c r="BC14" i="14"/>
  <c r="BC36" i="14"/>
  <c r="BC29" i="14"/>
  <c r="BC24" i="14"/>
  <c r="BC22" i="14"/>
  <c r="BC17" i="14"/>
  <c r="BC12" i="14"/>
  <c r="BC11" i="14"/>
  <c r="BC7" i="14"/>
  <c r="BC34" i="14"/>
  <c r="BC28" i="14"/>
  <c r="BC21" i="14"/>
  <c r="BC16" i="14"/>
  <c r="BC27" i="14"/>
  <c r="BC10" i="14"/>
  <c r="BC38" i="14"/>
  <c r="BC31" i="14"/>
  <c r="BC26" i="14"/>
  <c r="BC15" i="14"/>
  <c r="BC20" i="14"/>
  <c r="J41" i="14"/>
  <c r="F41" i="14"/>
  <c r="BC4" i="14"/>
  <c r="BO17" i="1"/>
  <c r="J43" i="1"/>
  <c r="H43" i="1"/>
  <c r="F43" i="1"/>
  <c r="BO30" i="1"/>
  <c r="BO32" i="1"/>
  <c r="BO39" i="1"/>
  <c r="BO37" i="1"/>
  <c r="BO26" i="1"/>
  <c r="BO24" i="1"/>
  <c r="BO21" i="1"/>
  <c r="BO19" i="1"/>
  <c r="BO18" i="1"/>
  <c r="BO7" i="1"/>
  <c r="BO33" i="1"/>
  <c r="BO20" i="1"/>
  <c r="BO8" i="1"/>
  <c r="BO13" i="1"/>
  <c r="BO4" i="1"/>
  <c r="BO38" i="1"/>
  <c r="BO12" i="1"/>
  <c r="BO25" i="1"/>
  <c r="BO10" i="1"/>
  <c r="BO14" i="1"/>
  <c r="BO9" i="1"/>
  <c r="BO28" i="1"/>
  <c r="BO23" i="1"/>
  <c r="BO6" i="1"/>
  <c r="BO11" i="1"/>
  <c r="BO15" i="1"/>
  <c r="BO40" i="1"/>
  <c r="BO36" i="1"/>
  <c r="B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tc={E4528F47-8621-44B8-9F62-9C431F81D54A}</author>
    <author>tc={DC2E1339-07B8-47CE-A9A9-CA5ABAA5BF67}</author>
    <author>tc={09CCACFF-5317-48F9-8525-E5E5CA40DC7C}</author>
    <author>tc={75078587-2C6E-40E4-8633-3DA9451B9960}</author>
    <author>tc={566F05C3-E6FC-4AB7-9479-D81948CF6E41}</author>
    <author>tc={07F4C6E4-31AB-4E3B-AD5F-8D6970CABC81}</author>
    <author>tc={700304C4-DB61-4456-9F8C-DECFDB146A45}</author>
    <author>tc={2C62BFF7-A5A5-4A03-AC64-5F56A53314FD}</author>
    <author>tc={384F157A-D466-47F8-BC29-5FBE21997EE8}</author>
    <author>tc={80D10AD4-638F-4B1C-8256-A960D4FCEC26}</author>
    <author>tc={7A09EEE1-A979-4F36-B89D-F0F3FDF6F197}</author>
    <author>tc={A6E98BD9-C47D-4563-A2A4-7A75F9AB79D9}</author>
    <author>tc={92B707E0-49FA-4686-B813-A6E4DF15DB81}</author>
    <author>tc={D5DCF8AE-86D2-429F-ABE5-93FC5FD3AB42}</author>
    <author>tc={0FE0B0A3-6BEE-49ED-B638-E29B813D5737}</author>
    <author>tc={9C49A456-EC12-4546-8EA9-EE0AC6AFA461}</author>
    <author>tc={0A2301D7-BAF1-4542-9AD0-C909A884E5AB}</author>
    <author>tc={6F0D3DCC-4A60-46A9-9405-88CC05C083EB}</author>
    <author>tc={8314639F-572A-4FA9-8DAB-74CF521D19DF}</author>
    <author>tc={EEDDCD76-C7BE-47F9-99C3-0BCE762647A2}</author>
  </authors>
  <commentList>
    <comment ref="E3" authorId="0" shapeId="0" xr:uid="{00000000-0006-0000-01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(SP. BARRACAS Y CTRO. ESPAÑOL). ATAJO A SP. BARRACAS. ERRÓ CTRO. ESPAÑOL</t>
      </text>
    </comment>
    <comment ref="E5" authorId="1" shapeId="0" xr:uid="{00000000-0006-0000-01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(BERAZATEGUI, EL PORVENIR, LAMADRID Y VILLA SAN CARLOS)</t>
      </text>
    </comment>
    <comment ref="E7" authorId="2" shapeId="0" xr:uid="{00000000-0006-0000-01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(GRAL. LAMADRID)</t>
      </text>
    </comment>
    <comment ref="E8" authorId="3" shapeId="0" xr:uid="{00000000-0006-0000-01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(REAL PILAR)</t>
      </text>
    </comment>
    <comment ref="E9" authorId="4" shapeId="0" xr:uid="{00000000-0006-0000-01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PENALES EN CONTRA (ATLAS (x2), BALLESTER, BERAZATEGUI, CLAYPOLE (x2)) Y LUGANO) ATAJÓ 2 PENALES (BERAZATEGUI Y CLAYPOLE).</t>
      </text>
    </comment>
    <comment ref="E13" authorId="5" shapeId="0" xr:uid="{00000000-0006-0000-01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A SP. ITALIANO. 79 PENALES EN CONTRA ( CENTRAL CORDOBA, CLAYPOLE, EXCURSIONISTAS (x2), PUERTO NUEVO, SAN MARTÍN B, SP. ITALIANO (x2) Y REAL PILAR)  ATAJÓ 4 PENAÑES (CENTRAL CÓRDOBA, PUERTO NUEVO Y SP. ITALIANO (x2)).</t>
      </text>
    </comment>
    <comment ref="E14" authorId="6" shapeId="0" xr:uid="{00000000-0006-0000-0100-000007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(CAMIONEROS, ESTRELLA DEL SUR Y YUPANQUI) - ATAJÓ A ESTRELLA DEL SUR</t>
      </text>
    </comment>
    <comment ref="E16" authorId="7" shapeId="0" xr:uid="{00000000-0006-0000-0100-000008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(DOCK SUD Y CENTRAL CÓRDOBA)</t>
      </text>
    </comment>
    <comment ref="E17" authorId="8" shapeId="0" xr:uid="{00000000-0006-0000-0100-000009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 PENALES EN CONTRA (BERAZATEGUI (x2), CENTRAL CÓRDOBA, DEP. ESPAÑOL (x2, EXCURSIONISTAS, ITUZAINGÓ (x3), MIDLAND, LAFERRERE (x2), LUJÁN (x2), MIDLAND (x2) Y SP. ITALIANO). ATAJÓ 3 PENALES (DEP. ESPAÑOL, LAFERRERE Y LUJÁN). ERRÓ PENAL (ITUZAINGÓ).</t>
      </text>
    </comment>
    <comment ref="E66" authorId="9" shapeId="0" xr:uid="{00000000-0006-0000-0100-00000A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(LEANDRO N. ALEM)</t>
      </text>
    </comment>
    <comment ref="E70" authorId="10" shapeId="0" xr:uid="{00000000-0006-0000-0100-00000B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TIRO LIBRE (PUERTO NUEVO)</t>
      </text>
    </comment>
    <comment ref="E93" authorId="11" shapeId="0" xr:uid="{00000000-0006-0000-0100-00000C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(ITUZAINÓ)</t>
      </text>
    </comment>
    <comment ref="E98" authorId="12" shapeId="0" xr:uid="{00000000-0006-0000-0100-00000D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DE TIRO LIBRE (JUVENTUD UNIDA)</t>
      </text>
    </comment>
    <comment ref="E107" authorId="13" shapeId="0" xr:uid="{00000000-0006-0000-0100-00000E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(MIDLAND)</t>
      </text>
    </comment>
    <comment ref="E119" authorId="14" shapeId="0" xr:uid="{00000000-0006-0000-0100-00000F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GOLES DE PENAL (BERAZATEGUI (x2), CAÑUELAS Y DOCK SUD). 1 PENAL ERRADO (ATLAS)</t>
      </text>
    </comment>
    <comment ref="E121" authorId="15" shapeId="0" xr:uid="{00000000-0006-0000-0100-000010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(JUV. UNIDA)</t>
      </text>
    </comment>
    <comment ref="E127" authorId="16" shapeId="0" xr:uid="{00000000-0006-0000-0100-00001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GOLES DE PENAL (EXCURSIONISTAS Y LAFERRERE). ERRÓ 1 PENAL (MIDLAND)</t>
      </text>
    </comment>
    <comment ref="E136" authorId="17" shapeId="0" xr:uid="{00000000-0006-0000-0100-00001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A LAMADRID</t>
      </text>
    </comment>
    <comment ref="E147" authorId="18" shapeId="0" xr:uid="{00000000-0006-0000-0100-00001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(PUERTO NUEVO). 
ERRÓ PENAL CONTRA ARG. DE MERLO</t>
      </text>
    </comment>
    <comment ref="E155" authorId="19" shapeId="0" xr:uid="{00000000-0006-0000-0100-00001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(MUÑIZ)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tc={F5B0251E-D497-4BD4-A281-B5DB6816B637}</author>
    <author>tc={D15DF432-4495-483A-9CFF-DB229B461458}</author>
    <author>tc={C62CA786-2127-4FBB-A85D-B1F4B9ED5F07}</author>
  </authors>
  <commentList>
    <comment ref="D3" authorId="0" shapeId="0" xr:uid="{00000000-0006-0000-06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(SP. BARRACAS Y CTRO. ESPAÑOL). ATAJO A SP. BARRACAS. ERRÓ CTRO. ESPAÑOL</t>
      </text>
    </comment>
    <comment ref="D5" authorId="1" shapeId="0" xr:uid="{00000000-0006-0000-06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(CAMIONEROS, ESTRELLA DEL SUR Y YUPANQUI) - ATAJÓ A ESTRELLA DEL SUR</t>
      </text>
    </comment>
    <comment ref="D28" authorId="2" shapeId="0" xr:uid="{00000000-0006-0000-06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(JUV. UNIDA)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tc={3CD8B5D5-64C0-47A0-A75C-46B3702E101F}</author>
    <author>tc={4CDAD8B8-8AEE-4A2A-B526-30504D86719E}</author>
    <author>tc={9666C6D3-0195-4453-90ED-BC24D3B89193}</author>
    <author>tc={7A09EEE1-A979-4F35-B89D-F0F3FDF6F197}</author>
    <author>tc={92B707E0-49FA-4685-B813-A6E4DF15DB81}</author>
    <author>tc={2C2DBD90-562E-48DE-853B-D52FFB9CA613}</author>
  </authors>
  <commentList>
    <comment ref="D5" authorId="0" shapeId="0" xr:uid="{00000000-0006-0000-07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(GRAL. LAMADRID)</t>
      </text>
    </comment>
    <comment ref="D7" authorId="1" shapeId="0" xr:uid="{00000000-0006-0000-07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(LUGANO, CLAYPOLE, BALLESTER Y BERAZATEGUI). ATAJÓ A BERAZATEGUI</t>
      </text>
    </comment>
    <comment ref="E7" authorId="2" shapeId="0" xr:uid="{00000000-0006-0000-07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(ATLAS (x2) Y CLAYPOLE) . ATAJO A CLAYPOLE</t>
      </text>
    </comment>
    <comment ref="E16" authorId="3" shapeId="0" xr:uid="{00000000-0006-0000-07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TIRO LIBRE (PUERTO NUEVO)</t>
      </text>
    </comment>
    <comment ref="D25" authorId="4" shapeId="0" xr:uid="{00000000-0006-0000-07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DE TIRO LIBRE (JUVENTUD UNIDA)</t>
      </text>
    </comment>
    <comment ref="D40" authorId="5" shapeId="0" xr:uid="{00000000-0006-0000-07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(MUÑIZ)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tc={09207519-BB7A-4493-98CF-C3D3C8E14A4A}</author>
    <author>tc={72EF4846-B2D3-462A-B961-6AFF39C84034}</author>
    <author>tc={FA123C0D-6866-4E8E-BA43-6DACCF80E207}</author>
  </authors>
  <commentList>
    <comment ref="D4" authorId="0" shapeId="0" xr:uid="{00000000-0006-0000-08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(REAL PILAR)</t>
      </text>
    </comment>
    <comment ref="D6" authorId="1" shapeId="0" xr:uid="{00000000-0006-0000-08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A SP. ITALIANO / 2 PENALES EN CONTRA (SP. ITALIANO Y SAN MARTÍN B) - ATAJÓ A SP. ITALIANO</t>
      </text>
    </comment>
    <comment ref="D39" authorId="2" shapeId="0" xr:uid="{00000000-0006-0000-08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(PUERTO NUEVO)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tc={3FCC710D-8E85-4483-90C3-EB400F0DE806}</author>
    <author>tc={964814DE-45A1-4BFB-BCEA-8FF50C100AD6}</author>
    <author>tc={C97BC4B3-3230-4927-84C4-37F81572F96D}</author>
    <author>tc={09D79441-46E0-40F2-BE49-4DEDC601BCB5}</author>
  </authors>
  <commentList>
    <comment ref="D4" authorId="0" shapeId="0" xr:uid="{00000000-0006-0000-09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(EXCURSIONISTAS, PUERTO NUEVO Y REAL PILAR)  ATAJÓ A PUERTO NUEVO</t>
      </text>
    </comment>
    <comment ref="E4" authorId="1" shapeId="0" xr:uid="{00000000-0006-0000-09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(SP. ITALIANO, CTRAL. CORDOBA, EXCURSIONISTAS Y CLAYPOLE) - ATAJÓ PENAL A SP. ITALIANO Y CTRAL. CÓRDOBA</t>
      </text>
    </comment>
    <comment ref="E34" authorId="2" shapeId="0" xr:uid="{00000000-0006-0000-09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A LAMADRID</t>
      </text>
    </comment>
    <comment ref="E37" authorId="3" shapeId="0" xr:uid="{00000000-0006-0000-09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ERRÓ PENAL CONTRA ARG. DE MERLO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tc={D72B4C0E-B28F-4B2E-BCF9-DBA437613855}</author>
    <author>tc={4D49177E-0F7D-4C65-8E44-9E9608DABFCB}</author>
    <author>tc={87C6E168-165C-4081-BBE1-6F8C02DD9B39}</author>
    <author>tc={42078E27-5599-4CEB-9CAE-146ADEEF00CC}</author>
    <author>tc={5A447EDA-3CC1-4D63-83C5-D77E9AFA2EA0}</author>
  </authors>
  <commentList>
    <comment ref="D6" authorId="0" shapeId="0" xr:uid="{00000000-0006-0000-0A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(DOCK SUD Y CENTRAL CÓRDOBA)</t>
      </text>
    </comment>
    <comment ref="D7" authorId="1" shapeId="0" xr:uid="{00000000-0006-0000-0A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(BERAZATEGUI E ITUZAINGÓ)</t>
      </text>
    </comment>
    <comment ref="E7" authorId="2" shapeId="0" xr:uid="{00000000-0006-0000-0A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(MIDLAND LUJÁN, DEP. ESPAÑOL Y CENTRAL CÓRDOBA)</t>
      </text>
    </comment>
    <comment ref="D33" authorId="3" shapeId="0" xr:uid="{00000000-0006-0000-0A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GOLES DE PENAL (BERAZATEGUI Y DOCK SUD)</t>
      </text>
    </comment>
    <comment ref="E33" authorId="4" shapeId="0" xr:uid="{00000000-0006-0000-0A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A BERAZATEGUI. 1 PENAL ERRADO A ATLAS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tc={7EA16904-6896-4BDF-95B6-6F98065777D4}</author>
  </authors>
  <commentList>
    <comment ref="D5" authorId="0" shapeId="0" xr:uid="{00000000-0006-0000-0B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(ITUZAINGÓ)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tc={35655080-0DD3-406B-8109-9DE0616563F0}</author>
    <author>tc={5F402D45-5C83-4B78-89C2-66E7416E4606}</author>
    <author>tc={A51322C5-9B88-4518-9503-0BF381E5AB7E}</author>
    <author>tc={D5DCF8AE-86D2-429E-ABE5-93FC5FD3AB42}</author>
    <author>tc={B93593A4-2E2A-47DC-95A9-ED439D54D568}</author>
  </authors>
  <commentList>
    <comment ref="D7" authorId="0" shapeId="0" xr:uid="{00000000-0006-0000-0C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(BERAZATEGUI Y LUJÁN). ATAJÓ 1 PENAL (LUJÁN)</t>
      </text>
    </comment>
    <comment ref="E7" authorId="1" shapeId="0" xr:uid="{00000000-0006-0000-0C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(ITUZAINGÓ Y DEP. ESPAÑOL). ERRÓ PENAL (ITUZAINGÓ). ATAJÓ PENAL (DEP. ESPAÑOL)</t>
      </text>
    </comment>
    <comment ref="D18" authorId="2" shapeId="0" xr:uid="{00000000-0006-0000-0C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(LEANDRO N. ALEM)</t>
      </text>
    </comment>
    <comment ref="D27" authorId="3" shapeId="0" xr:uid="{00000000-0006-0000-0C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(MIDLAND)</t>
      </text>
    </comment>
    <comment ref="E31" authorId="4" shapeId="0" xr:uid="{00000000-0006-0000-0C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(CAÑUELAS)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tc={25F4F322-D127-4C9E-88C6-FFDB9584A251}</author>
    <author>tc={8B31A19E-299B-43D1-B243-1F978AABD487}</author>
    <author>tc={C794F29A-CFFB-4A09-91D3-0E4BA44F5475}</author>
    <author>tc={616A645B-B4F3-4649-9632-0FD4FAF0612F}</author>
  </authors>
  <commentList>
    <comment ref="D3" authorId="0" shapeId="0" xr:uid="{00000000-0006-0000-0D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(BERAZATEGUI, EL PORVENIR, LAMADRID Y VILLA SAN CARLOS)</t>
      </text>
    </comment>
    <comment ref="D5" authorId="1" shapeId="0" xr:uid="{00000000-0006-0000-0D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PENALES EN CONTRA (EXCUESIONISTAS, LAFERRERE (x2), MIDLAND (x2) Y SP. ITALIANO). ATAJÓ 1 PENAL (LAFERRERE)</t>
      </text>
    </comment>
    <comment ref="D22" authorId="2" shapeId="0" xr:uid="{00000000-0006-0000-0D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(ITUZAINÓ)</t>
      </text>
    </comment>
    <comment ref="D30" authorId="3" shapeId="0" xr:uid="{00000000-0006-0000-0D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GOLES DE PENAL (EXCURSIONISTAS Y LAFERRERE). ERRÓ 1 PENAL (MIDLAND)</t>
      </text>
    </comment>
  </commentList>
</comments>
</file>

<file path=xl/sharedStrings.xml><?xml version="1.0" encoding="utf-8"?>
<sst xmlns="http://schemas.openxmlformats.org/spreadsheetml/2006/main" count="12221" uniqueCount="1231">
  <si>
    <t>Julián Nahuel</t>
  </si>
  <si>
    <t>Matías</t>
  </si>
  <si>
    <t>Matías Ezequiel</t>
  </si>
  <si>
    <t>Alan Santos</t>
  </si>
  <si>
    <t>Leonel Adrián</t>
  </si>
  <si>
    <t>Gonzalo Tomás</t>
  </si>
  <si>
    <t>Lautaro Emanuel</t>
  </si>
  <si>
    <t>Rufino Exequiel</t>
  </si>
  <si>
    <t>Alan Daniel</t>
  </si>
  <si>
    <t>Enzo Hernán</t>
  </si>
  <si>
    <t>Dylan Maximiliano</t>
  </si>
  <si>
    <t>Leonel Axel</t>
  </si>
  <si>
    <t>Nicolás</t>
  </si>
  <si>
    <t>Leandro David</t>
  </si>
  <si>
    <t>Marcos Agustín</t>
  </si>
  <si>
    <t>Joaquín</t>
  </si>
  <si>
    <t>Javier Francisco</t>
  </si>
  <si>
    <t>Maximiliano Tomás</t>
  </si>
  <si>
    <t>Gianfranco</t>
  </si>
  <si>
    <t>Lucas Nahuel</t>
  </si>
  <si>
    <t>Diego</t>
  </si>
  <si>
    <t>Luis Alberto</t>
  </si>
  <si>
    <t>Kevin Joel</t>
  </si>
  <si>
    <t>Luciano</t>
  </si>
  <si>
    <t>Tomás Agustín</t>
  </si>
  <si>
    <t>NOMBRE</t>
  </si>
  <si>
    <t>APELLIDO</t>
  </si>
  <si>
    <t>GOLES</t>
  </si>
  <si>
    <t>ASISTENCIAS</t>
  </si>
  <si>
    <t>TITULAR</t>
  </si>
  <si>
    <t>SUPLENTE</t>
  </si>
  <si>
    <t>Editson</t>
  </si>
  <si>
    <t>AMARILLAS</t>
  </si>
  <si>
    <t>ROJAS</t>
  </si>
  <si>
    <t>X</t>
  </si>
  <si>
    <t>GOL E/C A FAVOR</t>
  </si>
  <si>
    <t>VICTORIANO ARENAS</t>
  </si>
  <si>
    <r>
      <t xml:space="preserve">FECHA 1: </t>
    </r>
    <r>
      <rPr>
        <sz val="11"/>
        <color theme="1"/>
        <rFont val="Calibri"/>
        <family val="2"/>
        <scheme val="minor"/>
      </rPr>
      <t>0-1 vs PUERTO NUEVO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</si>
  <si>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3-0 vs JUV. UNIDA (V)</t>
    </r>
  </si>
  <si>
    <r>
      <t xml:space="preserve">FECHA 2: </t>
    </r>
    <r>
      <rPr>
        <sz val="11"/>
        <color theme="1"/>
        <rFont val="Calibri"/>
        <family val="2"/>
        <scheme val="minor"/>
      </rPr>
      <t>2-1 vs LUGANO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</si>
  <si>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4: </t>
    </r>
    <r>
      <rPr>
        <sz val="11"/>
        <color theme="1"/>
        <rFont val="Calibri"/>
        <family val="2"/>
        <scheme val="minor"/>
      </rPr>
      <t>2-2 vs CLAYPOLE (L)</t>
    </r>
  </si>
  <si>
    <t>MIN JUGADOS</t>
  </si>
  <si>
    <r>
      <t xml:space="preserve">FECHA 5: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CTRAL. BALLESTER (V)</t>
    </r>
  </si>
  <si>
    <r>
      <t xml:space="preserve">FECHA 6: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L. N. ALEM (L)</t>
    </r>
  </si>
  <si>
    <r>
      <t xml:space="preserve">FECHA 8: </t>
    </r>
    <r>
      <rPr>
        <sz val="11"/>
        <color theme="1"/>
        <rFont val="Calibri"/>
        <family val="2"/>
        <scheme val="minor"/>
      </rPr>
      <t>2-1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CTRO ESPAÑOL (V)</t>
    </r>
  </si>
  <si>
    <t>Local</t>
  </si>
  <si>
    <t>Visitante</t>
  </si>
  <si>
    <t>Total</t>
  </si>
  <si>
    <r>
      <t xml:space="preserve">FECHA 9: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DEP. ESPAÑOL (L)</t>
    </r>
  </si>
  <si>
    <t>Arturo</t>
  </si>
  <si>
    <r>
      <t xml:space="preserve">FECHA 10: </t>
    </r>
    <r>
      <rPr>
        <sz val="11"/>
        <color theme="1"/>
        <rFont val="Calibri"/>
        <family val="2"/>
        <scheme val="minor"/>
      </rPr>
      <t>1-1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</si>
  <si>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t>EQUIPO</t>
  </si>
  <si>
    <t>RESULTADO</t>
  </si>
  <si>
    <t>0-0</t>
  </si>
  <si>
    <t>V</t>
  </si>
  <si>
    <t>L</t>
  </si>
  <si>
    <t>2-1</t>
  </si>
  <si>
    <t>LUJÁN</t>
  </si>
  <si>
    <t>BERAZATEGUI</t>
  </si>
  <si>
    <t>1-2</t>
  </si>
  <si>
    <t>0-2</t>
  </si>
  <si>
    <t>1-0</t>
  </si>
  <si>
    <t>ATLAS</t>
  </si>
  <si>
    <t>0-4</t>
  </si>
  <si>
    <t>2-0</t>
  </si>
  <si>
    <t>2-3</t>
  </si>
  <si>
    <t>1-1</t>
  </si>
  <si>
    <t>2-4</t>
  </si>
  <si>
    <t>0-3</t>
  </si>
  <si>
    <t>LINIERS</t>
  </si>
  <si>
    <t>SP. ITALIANO</t>
  </si>
  <si>
    <t>DEP. ESPAÑOL</t>
  </si>
  <si>
    <t>CLAYPOLE</t>
  </si>
  <si>
    <t>MIDLAND</t>
  </si>
  <si>
    <t>PUERTO NUEVO</t>
  </si>
  <si>
    <t>YUPANQUI</t>
  </si>
  <si>
    <t>LEANDRO N. ALEM</t>
  </si>
  <si>
    <t>LAFERRERE</t>
  </si>
  <si>
    <t>EXCURSIONISTAS</t>
  </si>
  <si>
    <t>SAN MARTIN (B)</t>
  </si>
  <si>
    <t>GRAL. LAMADRID</t>
  </si>
  <si>
    <t>J.J. URQUIZA</t>
  </si>
  <si>
    <t>CENTRAL CÓRDOBA</t>
  </si>
  <si>
    <t>REAL PILAR</t>
  </si>
  <si>
    <t>0-1</t>
  </si>
  <si>
    <t>3-0</t>
  </si>
  <si>
    <t>2-2</t>
  </si>
  <si>
    <t>LUGANO</t>
  </si>
  <si>
    <t>JUVENTUD UNIDA</t>
  </si>
  <si>
    <t>CENTRAL BALLESTER</t>
  </si>
  <si>
    <t>CENTRO ESPAÑOL</t>
  </si>
  <si>
    <t>F1</t>
  </si>
  <si>
    <t>F2</t>
  </si>
  <si>
    <t>F3</t>
  </si>
  <si>
    <t>F4</t>
  </si>
  <si>
    <t>F5</t>
  </si>
  <si>
    <t>F6</t>
  </si>
  <si>
    <t>F8</t>
  </si>
  <si>
    <t>F9</t>
  </si>
  <si>
    <t>F10</t>
  </si>
  <si>
    <t>F7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</si>
  <si>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</si>
  <si>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</si>
  <si>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</si>
  <si>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</si>
  <si>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</si>
  <si>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</si>
  <si>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</si>
  <si>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</si>
  <si>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</si>
  <si>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</si>
  <si>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</si>
  <si>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</si>
  <si>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</si>
  <si>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</si>
  <si>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</si>
  <si>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</si>
  <si>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</si>
  <si>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</si>
  <si>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F31</t>
  </si>
  <si>
    <t>F32</t>
  </si>
  <si>
    <t>F33</t>
  </si>
  <si>
    <t>F34</t>
  </si>
  <si>
    <t>F35</t>
  </si>
  <si>
    <t>F36</t>
  </si>
  <si>
    <t>F37</t>
  </si>
  <si>
    <t>F38</t>
  </si>
  <si>
    <t>CAMBACERES</t>
  </si>
  <si>
    <t>DEP. PARAGUAYO</t>
  </si>
  <si>
    <t>SP. BARRACAS</t>
  </si>
  <si>
    <t>EL PORVENIR</t>
  </si>
  <si>
    <t>ITUZAINGÓ</t>
  </si>
  <si>
    <t>MUÑÍZ</t>
  </si>
  <si>
    <t>MERCEDES</t>
  </si>
  <si>
    <t>F11</t>
  </si>
  <si>
    <r>
      <t xml:space="preserve">FECHA 11: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CAMBACERES (L)</t>
    </r>
  </si>
  <si>
    <r>
      <t xml:space="preserve">FECHA 12: </t>
    </r>
    <r>
      <rPr>
        <sz val="11"/>
        <color theme="1"/>
        <rFont val="Calibri"/>
        <family val="2"/>
        <scheme val="minor"/>
      </rPr>
      <t>1-1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ARG ROSARIO (V)</t>
    </r>
  </si>
  <si>
    <t>POS</t>
  </si>
  <si>
    <t>ARQ</t>
  </si>
  <si>
    <t>VOL</t>
  </si>
  <si>
    <t>DEL</t>
  </si>
  <si>
    <t>DEF</t>
  </si>
  <si>
    <r>
      <t xml:space="preserve">FECHA 13: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(L)</t>
    </r>
  </si>
  <si>
    <r>
      <t xml:space="preserve">FECHA 14: </t>
    </r>
    <r>
      <rPr>
        <sz val="11"/>
        <color theme="1"/>
        <rFont val="Calibri"/>
        <family val="2"/>
        <scheme val="minor"/>
      </rPr>
      <t>0-0 vs DEP. PARAGUAYO (V)</t>
    </r>
  </si>
  <si>
    <r>
      <t xml:space="preserve">FECHA 15: </t>
    </r>
    <r>
      <rPr>
        <sz val="11"/>
        <color theme="1"/>
        <rFont val="Calibri"/>
        <family val="2"/>
        <scheme val="minor"/>
      </rPr>
      <t>1-2 vs J.J. URQUIZA (L)</t>
    </r>
  </si>
  <si>
    <r>
      <t xml:space="preserve">FECHA 16: </t>
    </r>
    <r>
      <rPr>
        <sz val="11"/>
        <color theme="1"/>
        <rFont val="Calibri"/>
        <family val="2"/>
        <scheme val="minor"/>
      </rPr>
      <t>0-0 vs YUPANQUI (V)</t>
    </r>
  </si>
  <si>
    <r>
      <t xml:space="preserve">FECHA 17: </t>
    </r>
    <r>
      <rPr>
        <sz val="11"/>
        <color theme="1"/>
        <rFont val="Calibri"/>
        <family val="2"/>
        <scheme val="minor"/>
      </rPr>
      <t>1-1 vs BERAZATEGUI (L)</t>
    </r>
  </si>
  <si>
    <r>
      <t xml:space="preserve">FECHA 18: </t>
    </r>
    <r>
      <rPr>
        <sz val="11"/>
        <color theme="1"/>
        <rFont val="Calibri"/>
        <family val="2"/>
        <scheme val="minor"/>
      </rPr>
      <t>1-1 vs SP. BARRACAS (V)</t>
    </r>
  </si>
  <si>
    <r>
      <t xml:space="preserve">FECHA 19: </t>
    </r>
    <r>
      <rPr>
        <sz val="11"/>
        <color theme="1"/>
        <rFont val="Calibri"/>
        <family val="2"/>
        <scheme val="minor"/>
      </rPr>
      <t>0-1 vs LUJÁN (L)</t>
    </r>
  </si>
  <si>
    <t>Héctor Sebastián</t>
  </si>
  <si>
    <r>
      <t xml:space="preserve">FECHA 20: </t>
    </r>
    <r>
      <rPr>
        <sz val="11"/>
        <color theme="1"/>
        <rFont val="Calibri"/>
        <family val="2"/>
        <scheme val="minor"/>
      </rPr>
      <t>0-0 vs EL PORVENIR (V)</t>
    </r>
  </si>
  <si>
    <r>
      <t xml:space="preserve">FECHA 21: </t>
    </r>
    <r>
      <rPr>
        <sz val="11"/>
        <color theme="1"/>
        <rFont val="Calibri"/>
        <family val="2"/>
        <scheme val="minor"/>
      </rPr>
      <t>1-0 vs ITUZAINGO (L)</t>
    </r>
  </si>
  <si>
    <r>
      <t xml:space="preserve">FECHA 22: 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GRAL. LAMADRID (V)</t>
    </r>
  </si>
  <si>
    <r>
      <t xml:space="preserve">FECHA 23: </t>
    </r>
    <r>
      <rPr>
        <sz val="11"/>
        <color theme="1"/>
        <rFont val="Calibri"/>
        <family val="2"/>
        <scheme val="minor"/>
      </rPr>
      <t>2-4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MUÑIZ (L)</t>
    </r>
  </si>
  <si>
    <r>
      <t xml:space="preserve">FECHA 24: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MERCEDES (V)</t>
    </r>
  </si>
  <si>
    <r>
      <t xml:space="preserve">FECHA 25: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CTRAL. CÓRDOBA (L)</t>
    </r>
  </si>
  <si>
    <r>
      <t xml:space="preserve">FECHA 1: </t>
    </r>
    <r>
      <rPr>
        <sz val="11"/>
        <color theme="1"/>
        <rFont val="Calibri"/>
        <family val="2"/>
        <scheme val="minor"/>
      </rPr>
      <t>1-0 vs PUERTO NUEVO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</si>
  <si>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t>TOTAL TORNEO APERTURA 2024</t>
  </si>
  <si>
    <t>TOTAL TORNEO CLAUSURA 2024</t>
  </si>
  <si>
    <t>TOTAL TEMPORADA 2024</t>
  </si>
  <si>
    <t>Cristian</t>
  </si>
  <si>
    <t>1-3</t>
  </si>
  <si>
    <r>
      <t xml:space="preserve">FECHA 2: </t>
    </r>
    <r>
      <rPr>
        <sz val="11"/>
        <color theme="1"/>
        <rFont val="Calibri"/>
        <family val="2"/>
        <scheme val="minor"/>
      </rPr>
      <t>0-0 vs LUGANO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</si>
  <si>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2-1 vs JUV. UNIDA (L)</t>
    </r>
  </si>
  <si>
    <r>
      <t xml:space="preserve">FECHA 4: </t>
    </r>
    <r>
      <rPr>
        <sz val="11"/>
        <color theme="1"/>
        <rFont val="Calibri"/>
        <family val="2"/>
        <scheme val="minor"/>
      </rPr>
      <t>1-0 vs CLAYPOLE (V)</t>
    </r>
  </si>
  <si>
    <r>
      <t xml:space="preserve">FECHA 5: </t>
    </r>
    <r>
      <rPr>
        <sz val="11"/>
        <color theme="1"/>
        <rFont val="Calibri"/>
        <family val="2"/>
        <scheme val="minor"/>
      </rPr>
      <t>1-1 vs CTRAL. BALLESTER (L)</t>
    </r>
  </si>
  <si>
    <r>
      <t xml:space="preserve">FECHA 6: </t>
    </r>
    <r>
      <rPr>
        <sz val="11"/>
        <color theme="1"/>
        <rFont val="Calibri"/>
        <family val="2"/>
        <scheme val="minor"/>
      </rPr>
      <t xml:space="preserve">0-3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L. N. ALEM (V)</t>
    </r>
  </si>
  <si>
    <r>
      <t xml:space="preserve">FECHA 8: </t>
    </r>
    <r>
      <rPr>
        <sz val="11"/>
        <color theme="1"/>
        <rFont val="Calibri"/>
        <family val="2"/>
        <scheme val="minor"/>
      </rPr>
      <t>1-1 vs CTRO ESPAÑOL (L)</t>
    </r>
  </si>
  <si>
    <r>
      <t xml:space="preserve">FECHA 9: </t>
    </r>
    <r>
      <rPr>
        <sz val="11"/>
        <color theme="1"/>
        <rFont val="Calibri"/>
        <family val="2"/>
        <scheme val="minor"/>
      </rPr>
      <t>0-0 vs DEP. ESPAÑOL (V)</t>
    </r>
  </si>
  <si>
    <t>AP</t>
  </si>
  <si>
    <t>CL</t>
  </si>
  <si>
    <t>------------</t>
  </si>
  <si>
    <t>TOTAL TORNEOS</t>
  </si>
  <si>
    <t>TOTAL TEMPORADA</t>
  </si>
  <si>
    <t>AP/CL</t>
  </si>
  <si>
    <r>
      <t xml:space="preserve">FECHA 10: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(L)</t>
    </r>
  </si>
  <si>
    <r>
      <t xml:space="preserve">FECHA 11: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CAMBACERES (V)</t>
    </r>
  </si>
  <si>
    <r>
      <t xml:space="preserve">FECHA 12: </t>
    </r>
    <r>
      <rPr>
        <sz val="11"/>
        <color theme="1"/>
        <rFont val="Calibri"/>
        <family val="2"/>
        <scheme val="minor"/>
      </rPr>
      <t>1-3 vs ARG ROSARIO (L)</t>
    </r>
  </si>
  <si>
    <r>
      <t xml:space="preserve">FECHA 13: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(V)</t>
    </r>
  </si>
  <si>
    <r>
      <t xml:space="preserve">FECHA 14: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DEP. PARAGUAYO (L)</t>
    </r>
  </si>
  <si>
    <r>
      <t xml:space="preserve">FECHA 15: </t>
    </r>
    <r>
      <rPr>
        <sz val="11"/>
        <color theme="1"/>
        <rFont val="Calibri"/>
        <family val="2"/>
        <scheme val="minor"/>
      </rPr>
      <t>0-1 vs J.J. URQUIZA (V)</t>
    </r>
  </si>
  <si>
    <r>
      <t xml:space="preserve">FECHA 16: </t>
    </r>
    <r>
      <rPr>
        <sz val="11"/>
        <color theme="1"/>
        <rFont val="Calibri"/>
        <family val="2"/>
        <scheme val="minor"/>
      </rPr>
      <t>3-0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YUPANQUI (L)</t>
    </r>
  </si>
  <si>
    <r>
      <t xml:space="preserve">FECHA 18: </t>
    </r>
    <r>
      <rPr>
        <sz val="11"/>
        <color theme="1"/>
        <rFont val="Calibri"/>
        <family val="2"/>
        <scheme val="minor"/>
      </rPr>
      <t>0-1 vs SP. BARRACAS (L)</t>
    </r>
  </si>
  <si>
    <r>
      <t xml:space="preserve">FECHA 17: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BERAZATEGUI (V)</t>
    </r>
  </si>
  <si>
    <r>
      <t xml:space="preserve">FECHA 19: </t>
    </r>
    <r>
      <rPr>
        <sz val="11"/>
        <color theme="1"/>
        <rFont val="Calibri"/>
        <family val="2"/>
        <scheme val="minor"/>
      </rPr>
      <t>1-3 vs LUJÁN (V)</t>
    </r>
  </si>
  <si>
    <r>
      <t xml:space="preserve">FECHA 20: </t>
    </r>
    <r>
      <rPr>
        <sz val="11"/>
        <color theme="1"/>
        <rFont val="Calibri"/>
        <family val="2"/>
        <scheme val="minor"/>
      </rPr>
      <t>0-0 vs EL PORVENIR (L)</t>
    </r>
  </si>
  <si>
    <r>
      <t xml:space="preserve">FECHA 21: </t>
    </r>
    <r>
      <rPr>
        <sz val="11"/>
        <color theme="1"/>
        <rFont val="Calibri"/>
        <family val="2"/>
        <scheme val="minor"/>
      </rPr>
      <t>1-0 vs ITUZAINGO (V)</t>
    </r>
  </si>
  <si>
    <r>
      <t xml:space="preserve">FECHA 22:  </t>
    </r>
    <r>
      <rPr>
        <sz val="11"/>
        <color theme="1"/>
        <rFont val="Calibri"/>
        <family val="2"/>
        <scheme val="minor"/>
      </rPr>
      <t>2-2 vs GRAL. LAMADRID (L)</t>
    </r>
  </si>
  <si>
    <r>
      <t xml:space="preserve">FECHA 23: </t>
    </r>
    <r>
      <rPr>
        <sz val="11"/>
        <color theme="1"/>
        <rFont val="Calibri"/>
        <family val="2"/>
        <scheme val="minor"/>
      </rPr>
      <t>2-2 vs MUÑIZ (V)</t>
    </r>
  </si>
  <si>
    <r>
      <t xml:space="preserve">FECHA 25: </t>
    </r>
    <r>
      <rPr>
        <sz val="11"/>
        <color theme="1"/>
        <rFont val="Calibri"/>
        <family val="2"/>
        <scheme val="minor"/>
      </rPr>
      <t>1-2 vs CTRAL. CÓRDOBA (V)</t>
    </r>
  </si>
  <si>
    <r>
      <t>FECHA 24: 2</t>
    </r>
    <r>
      <rPr>
        <sz val="11"/>
        <color theme="1"/>
        <rFont val="Calibri"/>
        <family val="2"/>
        <scheme val="minor"/>
      </rPr>
      <t>-1 vs MERCEDES (L)</t>
    </r>
  </si>
  <si>
    <t>CAÑUELAS</t>
  </si>
  <si>
    <t>ESTRELLA DEL SUR</t>
  </si>
  <si>
    <t>CAMIONEROS</t>
  </si>
  <si>
    <r>
      <t xml:space="preserve">FECHA 1: </t>
    </r>
    <r>
      <rPr>
        <sz val="11"/>
        <color theme="1"/>
        <rFont val="Calibri"/>
        <family val="2"/>
        <scheme val="minor"/>
      </rPr>
      <t>1-2 vs ARG ROSARIO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</si>
  <si>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3: </t>
    </r>
    <r>
      <rPr>
        <sz val="11"/>
        <color theme="1"/>
        <rFont val="Calibri"/>
        <family val="2"/>
        <scheme val="minor"/>
      </rPr>
      <t>1-3 vs ATLAS (L)</t>
    </r>
  </si>
  <si>
    <r>
      <t xml:space="preserve">FECHA 2: </t>
    </r>
    <r>
      <rPr>
        <sz val="11"/>
        <color theme="1"/>
        <rFont val="Calibri"/>
        <family val="2"/>
        <scheme val="minor"/>
      </rPr>
      <t>1-3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</si>
  <si>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4: </t>
    </r>
    <r>
      <rPr>
        <sz val="11"/>
        <color theme="1"/>
        <rFont val="Calibri"/>
        <family val="2"/>
        <scheme val="minor"/>
      </rPr>
      <t>1-1 vs CAÑUELAS (V)</t>
    </r>
  </si>
  <si>
    <r>
      <t xml:space="preserve">FECHA 5: </t>
    </r>
    <r>
      <rPr>
        <sz val="11"/>
        <color theme="1"/>
        <rFont val="Calibri"/>
        <family val="2"/>
        <scheme val="minor"/>
      </rPr>
      <t>3-0 vs DEP. PARAGUAYO (L)</t>
    </r>
  </si>
  <si>
    <t>TOTAL TEMPORADA 2025</t>
  </si>
  <si>
    <t>Leandro Zacarías y Nicolás Mamberti</t>
  </si>
  <si>
    <t>Matías González x 2</t>
  </si>
  <si>
    <t>Leonel Duarte</t>
  </si>
  <si>
    <t>Matías Rodríguez y Gonzálo Pérez</t>
  </si>
  <si>
    <t>Brian Robles</t>
  </si>
  <si>
    <t>Matías Gómez</t>
  </si>
  <si>
    <t>Nicolás Mamberti</t>
  </si>
  <si>
    <t>Exequiel Ortiz y Lautaro Chaparro</t>
  </si>
  <si>
    <t>Exequiel Ortíz, Leandro Zacarías y E/C</t>
  </si>
  <si>
    <t>Diego Palacios Mena</t>
  </si>
  <si>
    <t>Leonel Duarte y Lautaro Chaparro</t>
  </si>
  <si>
    <t>Gonzalo Pérez</t>
  </si>
  <si>
    <t>Matías Blanco</t>
  </si>
  <si>
    <t>Matías Rodríguez</t>
  </si>
  <si>
    <t>Héctor Villalba</t>
  </si>
  <si>
    <t>Lautaro Chaparro</t>
  </si>
  <si>
    <t>Matías Billordo</t>
  </si>
  <si>
    <t>Exequiel Ortiz y Brian Robles</t>
  </si>
  <si>
    <t>Luciano Schiaffini</t>
  </si>
  <si>
    <t>Editson Córdoba Mena</t>
  </si>
  <si>
    <t>Julián García</t>
  </si>
  <si>
    <t>TORNEO</t>
  </si>
  <si>
    <t>ROJAS VICTORIANO</t>
  </si>
  <si>
    <t>ROJAS RIVALES</t>
  </si>
  <si>
    <t>PENALES A FAVOR</t>
  </si>
  <si>
    <t>PENALES EN CONTRA</t>
  </si>
  <si>
    <t>Matías Rodríguez y Nicolás González</t>
  </si>
  <si>
    <t>Matías Gómez y Lautaro Chaparro</t>
  </si>
  <si>
    <t>Lucas Pérez</t>
  </si>
  <si>
    <t>Exequiel Ortiz</t>
  </si>
  <si>
    <t>Nicolás González</t>
  </si>
  <si>
    <t>Ortiz, Chaparro y Duarte</t>
  </si>
  <si>
    <t>Brian Robles y Lucas Pérez</t>
  </si>
  <si>
    <t>Matías González y Dylan Monzón</t>
  </si>
  <si>
    <t>Dylan Monzón</t>
  </si>
  <si>
    <t>Nicolás González y Matías Blanco</t>
  </si>
  <si>
    <t>Nahuel Cáceres</t>
  </si>
  <si>
    <t>Héctor Villalba y Nahuel Cáceres</t>
  </si>
  <si>
    <t>Álan Salmantón</t>
  </si>
  <si>
    <t>Monzón, Ortz y N. González</t>
  </si>
  <si>
    <t>Mateo Tarrio</t>
  </si>
  <si>
    <t>APERTURA 24</t>
  </si>
  <si>
    <t>CLAUSURA 24</t>
  </si>
  <si>
    <t>APERTURA 25</t>
  </si>
  <si>
    <t>DT</t>
  </si>
  <si>
    <t>Oscar Morali</t>
  </si>
  <si>
    <t>Federico Condino</t>
  </si>
  <si>
    <t>ÁRBITRO</t>
  </si>
  <si>
    <t>David Cornejo</t>
  </si>
  <si>
    <t>ARGENTINO ROSARIO</t>
  </si>
  <si>
    <t>Alejandro Porticella</t>
  </si>
  <si>
    <t>Lucas Brumer</t>
  </si>
  <si>
    <t>Damián Ramírez</t>
  </si>
  <si>
    <t>Rodrigo Villalba</t>
  </si>
  <si>
    <t>Valentín Bocaccia</t>
  </si>
  <si>
    <t>Joaquín Rodríguez</t>
  </si>
  <si>
    <t>Gabriel Flores</t>
  </si>
  <si>
    <t>Mateo Bocaccia</t>
  </si>
  <si>
    <t>Agustín Flores</t>
  </si>
  <si>
    <t>Sebastián Habib</t>
  </si>
  <si>
    <t>Mariano Seco</t>
  </si>
  <si>
    <t>Damián Rubino</t>
  </si>
  <si>
    <t>Ramiro Maglio</t>
  </si>
  <si>
    <t>Julián Beligoy</t>
  </si>
  <si>
    <t>Guido Mascheroni</t>
  </si>
  <si>
    <t>Maxi López Monti</t>
  </si>
  <si>
    <t>Jesús Girett</t>
  </si>
  <si>
    <t>Jonathan Barrios</t>
  </si>
  <si>
    <t>Nicolás Jara</t>
  </si>
  <si>
    <t>Néstor Barrios</t>
  </si>
  <si>
    <t>Martín Despósito</t>
  </si>
  <si>
    <t>Ariel Cruz</t>
  </si>
  <si>
    <t>Rodrigo Pafundi</t>
  </si>
  <si>
    <t>Nicolás Mamberti y Lautaro Calo</t>
  </si>
  <si>
    <t>Gonzalo Creimermann</t>
  </si>
  <si>
    <t>Nicolás Mastroieni</t>
  </si>
  <si>
    <t>Ignacio Cuicchi</t>
  </si>
  <si>
    <t>Wenceslao Meneses</t>
  </si>
  <si>
    <t>Agustín Figueroa y Matías Rodríguez</t>
  </si>
  <si>
    <t>Manuel Girett</t>
  </si>
  <si>
    <t>Leandro Zacarías</t>
  </si>
  <si>
    <t>Nicolás Kresta</t>
  </si>
  <si>
    <t>Gonzalo Pérez y Leonel Duarte</t>
  </si>
  <si>
    <t>Sergio Salomóne</t>
  </si>
  <si>
    <t>Tomás Magnano</t>
  </si>
  <si>
    <t>Leandro Zacarías y Gonzalo P+rez</t>
  </si>
  <si>
    <t>Álan Ferreyra</t>
  </si>
  <si>
    <t>Isaac Merlo</t>
  </si>
  <si>
    <t>Lucas Ozuna</t>
  </si>
  <si>
    <t>Lautaro Calo</t>
  </si>
  <si>
    <t>Gonzalo Pereira</t>
  </si>
  <si>
    <t>Julián Jeréz</t>
  </si>
  <si>
    <t>Esteban Coronel</t>
  </si>
  <si>
    <t>Elías Torancio y Mauro Romay</t>
  </si>
  <si>
    <t>Elías Torancio</t>
  </si>
  <si>
    <t>Leonel Duarte y Lautaro Calo</t>
  </si>
  <si>
    <t>Valentín Lombardi</t>
  </si>
  <si>
    <t>Gonzalo  Pereira</t>
  </si>
  <si>
    <t>Nicolás Ramírez</t>
  </si>
  <si>
    <t>Gabriel Gutierrez</t>
  </si>
  <si>
    <t>Javier Graieb</t>
  </si>
  <si>
    <t>RIVAL</t>
  </si>
  <si>
    <t>GOLEADOR</t>
  </si>
  <si>
    <t>CANTIDAD</t>
  </si>
  <si>
    <t>DUARTE, Leonel</t>
  </si>
  <si>
    <t>CHAPARRO, Lautaro</t>
  </si>
  <si>
    <t>GONZÁLEZ, Nicolás</t>
  </si>
  <si>
    <t>MAMBERTI, Nicolás</t>
  </si>
  <si>
    <t>PÉREZ, Gonzalo</t>
  </si>
  <si>
    <t>ZACARÍAS, Leandro</t>
  </si>
  <si>
    <t>CALO, Lautaro</t>
  </si>
  <si>
    <t>GONZÁLEZ, Matías</t>
  </si>
  <si>
    <t>RODRÍGUEZ, Matías</t>
  </si>
  <si>
    <t>BILLORDO, Matías</t>
  </si>
  <si>
    <t>BLANCO, Matías</t>
  </si>
  <si>
    <t>GÓMEZ, Matías</t>
  </si>
  <si>
    <t>MONZÓN, Dylan</t>
  </si>
  <si>
    <t>TORANCIO, Elías</t>
  </si>
  <si>
    <t>FIGUEROA, Agustín</t>
  </si>
  <si>
    <t>GRAIEB, Javier</t>
  </si>
  <si>
    <t>ROMAY, Mauro</t>
  </si>
  <si>
    <t>PALACIOS MENA, Diego</t>
  </si>
  <si>
    <t>PÉREZ, Lucas</t>
  </si>
  <si>
    <t>RAMÍREZ, Damián</t>
  </si>
  <si>
    <t>RAMÍREZ, Nicolás</t>
  </si>
  <si>
    <t>ROBLES, Brian</t>
  </si>
  <si>
    <t>SALOMONE, Sergio</t>
  </si>
  <si>
    <t>TARRIO, Mateo</t>
  </si>
  <si>
    <t>VILLALBA, Héctor</t>
  </si>
  <si>
    <t>SALMANTÓN, Álan</t>
  </si>
  <si>
    <t>ORTÍZ, Exequiel</t>
  </si>
  <si>
    <t>MERLO, Isaax</t>
  </si>
  <si>
    <t>CÁCERES, Nahuel</t>
  </si>
  <si>
    <t>ESCUDERO</t>
  </si>
  <si>
    <t>FERREYRA</t>
  </si>
  <si>
    <t>GARCÍA</t>
  </si>
  <si>
    <t>CALÓ</t>
  </si>
  <si>
    <t>GÓMEZ</t>
  </si>
  <si>
    <t>GRAIEB</t>
  </si>
  <si>
    <t>GRANE MORRONE</t>
  </si>
  <si>
    <t>LESCANO</t>
  </si>
  <si>
    <t>ROBLES</t>
  </si>
  <si>
    <t>RODRÍGUEZ</t>
  </si>
  <si>
    <t>BILLORDO</t>
  </si>
  <si>
    <t>CHAPARRO</t>
  </si>
  <si>
    <t>DUARTE</t>
  </si>
  <si>
    <t>GONZÁLEZ</t>
  </si>
  <si>
    <t>LUZARDO</t>
  </si>
  <si>
    <t>MAMBERTI</t>
  </si>
  <si>
    <t>MONZÓN</t>
  </si>
  <si>
    <t>ORTÍZ MARTÍNEZ</t>
  </si>
  <si>
    <t>PÉREZ</t>
  </si>
  <si>
    <t>SCHIAFFINI</t>
  </si>
  <si>
    <t>VILLALBA</t>
  </si>
  <si>
    <t>BLANCO</t>
  </si>
  <si>
    <t>BORDÓN</t>
  </si>
  <si>
    <t>CÓRDOBA MENA</t>
  </si>
  <si>
    <t>FLORES</t>
  </si>
  <si>
    <t>MACHUCA BÁEZ</t>
  </si>
  <si>
    <t>PALACIOS MENA</t>
  </si>
  <si>
    <t>VENTRICI</t>
  </si>
  <si>
    <t>ZACARÍAS</t>
  </si>
  <si>
    <t>CICRARO LANGIOTTI</t>
  </si>
  <si>
    <t>PJ</t>
  </si>
  <si>
    <t>------</t>
  </si>
  <si>
    <t>LOCAL</t>
  </si>
  <si>
    <t>VISITANTE</t>
  </si>
  <si>
    <t>TOTAL</t>
  </si>
  <si>
    <t>PARTIDOS JUGADOS</t>
  </si>
  <si>
    <t>GANADOS</t>
  </si>
  <si>
    <t>EMPATADOS</t>
  </si>
  <si>
    <t>PERDIDOS</t>
  </si>
  <si>
    <t>AMONESTADOS</t>
  </si>
  <si>
    <t>PARTIDOS DIRIGIDOS</t>
  </si>
  <si>
    <t>OSCAR MORALI</t>
  </si>
  <si>
    <t>EFECTIVIDAD</t>
  </si>
  <si>
    <t>TEMPORADAS</t>
  </si>
  <si>
    <t>CONDICIÓN</t>
  </si>
  <si>
    <t>ÁBALOS</t>
  </si>
  <si>
    <t>Lucas Emanuel</t>
  </si>
  <si>
    <t>SALMANTÓN</t>
  </si>
  <si>
    <t>Álan Agustín</t>
  </si>
  <si>
    <t>Isaías David</t>
  </si>
  <si>
    <t>Ezequiel Adriel</t>
  </si>
  <si>
    <t>AGUIRRE</t>
  </si>
  <si>
    <t>Matías Exequiel</t>
  </si>
  <si>
    <t>Diego Nicolás</t>
  </si>
  <si>
    <t>RIFFA</t>
  </si>
  <si>
    <t>Tiago Omar</t>
  </si>
  <si>
    <t>RODRÍGUEZ PFEIFFER</t>
  </si>
  <si>
    <t>Joaquín Alfonso</t>
  </si>
  <si>
    <t>RUIZ DÍAZ</t>
  </si>
  <si>
    <t>Facundo</t>
  </si>
  <si>
    <t>Matías Germán</t>
  </si>
  <si>
    <t>TISOCCO</t>
  </si>
  <si>
    <t>Áxel Nahuel</t>
  </si>
  <si>
    <t>PONCE</t>
  </si>
  <si>
    <t>Bruno Elías</t>
  </si>
  <si>
    <t>TARRIO</t>
  </si>
  <si>
    <t>Matías Leonel</t>
  </si>
  <si>
    <t>ULAYAR</t>
  </si>
  <si>
    <t>Federico David</t>
  </si>
  <si>
    <t>BENVENUTTI</t>
  </si>
  <si>
    <t>Fernando Santiago</t>
  </si>
  <si>
    <t>CÁCERES</t>
  </si>
  <si>
    <t>Nahuel</t>
  </si>
  <si>
    <t>ARGENTINO DE MERLO</t>
  </si>
  <si>
    <t>APERTURA 22</t>
  </si>
  <si>
    <t>CLAUSURA 22</t>
  </si>
  <si>
    <t>1-4</t>
  </si>
  <si>
    <t>TOTALES</t>
  </si>
  <si>
    <t>Diego Fassi</t>
  </si>
  <si>
    <t>Marcos Recalde</t>
  </si>
  <si>
    <t>Mauro Romay</t>
  </si>
  <si>
    <t>Emanuel Ibañez</t>
  </si>
  <si>
    <t>Lautaro Calo y Gustavo Fernández</t>
  </si>
  <si>
    <t>Manuel Brandon</t>
  </si>
  <si>
    <t>Gustavo Fernández</t>
  </si>
  <si>
    <t>Sebastián Murúa</t>
  </si>
  <si>
    <t>Juan Cruz Robledo</t>
  </si>
  <si>
    <t>Martín Molina</t>
  </si>
  <si>
    <t>Fernando Barrios</t>
  </si>
  <si>
    <t>Gastón Iglesias</t>
  </si>
  <si>
    <t>Kévin Fabián</t>
  </si>
  <si>
    <t>Enzo Lescano</t>
  </si>
  <si>
    <t>Sergio Salomóne y Mauro Romay</t>
  </si>
  <si>
    <t>Felipe Viola</t>
  </si>
  <si>
    <t>FEDERICO CONDINO</t>
  </si>
  <si>
    <t>SEBASTIÁN MURÚA</t>
  </si>
  <si>
    <t>Maximiliano Acosta</t>
  </si>
  <si>
    <t>Sergio Salomone y Diego Leguiza</t>
  </si>
  <si>
    <t>Gustavo Alcaraz E/C</t>
  </si>
  <si>
    <t>Jonathan de Oto</t>
  </si>
  <si>
    <t>Tomás Aybar</t>
  </si>
  <si>
    <t>URÁN, Lucas</t>
  </si>
  <si>
    <t>BARRIOS, Fernando</t>
  </si>
  <si>
    <t>ÁVALOS, Alejandro</t>
  </si>
  <si>
    <t>EN CONTRA</t>
  </si>
  <si>
    <t>FASSI, Diego</t>
  </si>
  <si>
    <t>ACOSTA, Maximiliano</t>
  </si>
  <si>
    <t>LEGUIZA, Diego</t>
  </si>
  <si>
    <t>FERNÁNDEZ, Gustavo</t>
  </si>
  <si>
    <t>RUIZ, Matías</t>
  </si>
  <si>
    <t>Matías RuIz</t>
  </si>
  <si>
    <t>Matías RuIz y Diego Leguiza</t>
  </si>
  <si>
    <r>
      <t xml:space="preserve">FECHA 6: </t>
    </r>
    <r>
      <rPr>
        <sz val="11"/>
        <color theme="1"/>
        <rFont val="Calibri"/>
        <family val="2"/>
        <scheme val="minor"/>
      </rPr>
      <t>0-0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CTRAL. BALLESTER (L)</t>
    </r>
  </si>
  <si>
    <r>
      <t xml:space="preserve">FECHA 1: </t>
    </r>
    <r>
      <rPr>
        <sz val="11"/>
        <color theme="1"/>
        <rFont val="Calibri"/>
        <family val="2"/>
        <scheme val="minor"/>
      </rPr>
      <t>0-0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</si>
  <si>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2: </t>
    </r>
    <r>
      <rPr>
        <sz val="11"/>
        <color theme="1"/>
        <rFont val="Calibri"/>
        <family val="2"/>
        <scheme val="minor"/>
      </rPr>
      <t>2-1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</si>
  <si>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4: </t>
    </r>
    <r>
      <rPr>
        <sz val="11"/>
        <color theme="1"/>
        <rFont val="Calibri"/>
        <family val="2"/>
        <scheme val="minor"/>
      </rPr>
      <t>0-2 vs DEP. ESPAÑOL (L)</t>
    </r>
  </si>
  <si>
    <r>
      <t xml:space="preserve">FECHA 3: </t>
    </r>
    <r>
      <rPr>
        <sz val="11"/>
        <color theme="1"/>
        <rFont val="Calibri"/>
        <family val="2"/>
        <scheme val="minor"/>
      </rPr>
      <t>1-2 vs SP. ITALIANO (V)</t>
    </r>
  </si>
  <si>
    <r>
      <t xml:space="preserve">FECHA 6: </t>
    </r>
    <r>
      <rPr>
        <sz val="11"/>
        <color theme="1"/>
        <rFont val="Calibri"/>
        <family val="2"/>
        <scheme val="minor"/>
      </rPr>
      <t>1-2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MIDLAND (L)</t>
    </r>
  </si>
  <si>
    <r>
      <t xml:space="preserve">FECHA 5: </t>
    </r>
    <r>
      <rPr>
        <sz val="11"/>
        <color theme="1"/>
        <rFont val="Calibri"/>
        <family val="2"/>
        <scheme val="minor"/>
      </rPr>
      <t>0-2 vs CLAYPOLE (V)</t>
    </r>
  </si>
  <si>
    <r>
      <t xml:space="preserve">FECHA 12: </t>
    </r>
    <r>
      <rPr>
        <sz val="11"/>
        <color theme="1"/>
        <rFont val="Calibri"/>
        <family val="2"/>
        <scheme val="minor"/>
      </rPr>
      <t>2-3 vs LAFERRERE (V)</t>
    </r>
  </si>
  <si>
    <r>
      <t xml:space="preserve">FECHA 13: </t>
    </r>
    <r>
      <rPr>
        <sz val="11"/>
        <color theme="1"/>
        <rFont val="Calibri"/>
        <family val="2"/>
        <scheme val="minor"/>
      </rPr>
      <t>1-1 vs EXCURSIONISTAS (L)</t>
    </r>
  </si>
  <si>
    <r>
      <t xml:space="preserve">FECHA 14: </t>
    </r>
    <r>
      <rPr>
        <sz val="11"/>
        <color theme="1"/>
        <rFont val="Calibri"/>
        <family val="2"/>
        <scheme val="minor"/>
      </rPr>
      <t>2-4 vs SAN MARTÍN B (V)</t>
    </r>
  </si>
  <si>
    <r>
      <t xml:space="preserve">FECHA 15: </t>
    </r>
    <r>
      <rPr>
        <sz val="11"/>
        <color theme="1"/>
        <rFont val="Calibri"/>
        <family val="2"/>
        <scheme val="minor"/>
      </rPr>
      <t>1-1 vs GRAL. LAMADRID (L)</t>
    </r>
  </si>
  <si>
    <r>
      <t xml:space="preserve">FECHA 16: </t>
    </r>
    <r>
      <rPr>
        <sz val="11"/>
        <color theme="1"/>
        <rFont val="Calibri"/>
        <family val="2"/>
        <scheme val="minor"/>
      </rPr>
      <t>0-3 vs J.J. URQUIZA (V)</t>
    </r>
  </si>
  <si>
    <r>
      <t>FECHA 17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0-0 vs CTRAL. CÓRDOBA (L)</t>
    </r>
  </si>
  <si>
    <r>
      <t>FECHA 18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1-2 vs LINIERS (V)</t>
    </r>
  </si>
  <si>
    <r>
      <t>FECHA 19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1-1 vs REAL PILAR (L)</t>
    </r>
  </si>
  <si>
    <t>TOTAL TEMPORADA 2023</t>
  </si>
  <si>
    <r>
      <t xml:space="preserve">FECHA 20: </t>
    </r>
    <r>
      <rPr>
        <sz val="11"/>
        <color theme="1"/>
        <rFont val="Calibri"/>
        <family val="2"/>
        <scheme val="minor"/>
      </rPr>
      <t>0-0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</si>
  <si>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21: </t>
    </r>
    <r>
      <rPr>
        <sz val="11"/>
        <color theme="1"/>
        <rFont val="Calibri"/>
        <family val="2"/>
        <scheme val="minor"/>
      </rPr>
      <t>0-1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</si>
  <si>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22: </t>
    </r>
    <r>
      <rPr>
        <sz val="11"/>
        <color theme="1"/>
        <rFont val="Calibri"/>
        <family val="2"/>
        <scheme val="minor"/>
      </rPr>
      <t>0-3 vs SP. ITALIANO (L)</t>
    </r>
  </si>
  <si>
    <r>
      <t xml:space="preserve">FECHA 24: </t>
    </r>
    <r>
      <rPr>
        <sz val="11"/>
        <color theme="1"/>
        <rFont val="Calibri"/>
        <family val="2"/>
        <scheme val="minor"/>
      </rPr>
      <t>1-2 vs CLAYPOLE (L)</t>
    </r>
  </si>
  <si>
    <r>
      <t xml:space="preserve">FECHA 25: </t>
    </r>
    <r>
      <rPr>
        <sz val="11"/>
        <color theme="1"/>
        <rFont val="Calibri"/>
        <family val="2"/>
        <scheme val="minor"/>
      </rPr>
      <t>1-3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MIDLAND (V)</t>
    </r>
  </si>
  <si>
    <r>
      <t xml:space="preserve">FECHA 7: </t>
    </r>
    <r>
      <rPr>
        <sz val="11"/>
        <color theme="1"/>
        <rFont val="Calibri"/>
        <family val="2"/>
        <scheme val="minor"/>
      </rPr>
      <t>1-0 vs PUERTO NUEVO (V)</t>
    </r>
  </si>
  <si>
    <r>
      <t xml:space="preserve">FECHA 8: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YUPANQUI (L)</t>
    </r>
  </si>
  <si>
    <r>
      <t xml:space="preserve">FECHA 9: </t>
    </r>
    <r>
      <rPr>
        <sz val="11"/>
        <color theme="1"/>
        <rFont val="Calibri"/>
        <family val="2"/>
        <scheme val="minor"/>
      </rPr>
      <t xml:space="preserve"> 0-4 vs ATLAS (V)</t>
    </r>
  </si>
  <si>
    <r>
      <t xml:space="preserve">FECHA 10: </t>
    </r>
    <r>
      <rPr>
        <sz val="11"/>
        <color theme="1"/>
        <rFont val="Calibri"/>
        <family val="2"/>
        <scheme val="minor"/>
      </rPr>
      <t>2-0 vs L. N. ALEM (L)</t>
    </r>
  </si>
  <si>
    <r>
      <t xml:space="preserve">FECHA 26: </t>
    </r>
    <r>
      <rPr>
        <sz val="11"/>
        <color theme="1"/>
        <rFont val="Calibri"/>
        <family val="2"/>
        <scheme val="minor"/>
      </rPr>
      <t>0-0 vs PUERTO NUEVO (L)</t>
    </r>
  </si>
  <si>
    <r>
      <t xml:space="preserve">FECHA 28: </t>
    </r>
    <r>
      <rPr>
        <sz val="11"/>
        <color theme="1"/>
        <rFont val="Calibri"/>
        <family val="2"/>
        <scheme val="minor"/>
      </rPr>
      <t xml:space="preserve"> 2-1 vs ATLAS (L)</t>
    </r>
  </si>
  <si>
    <r>
      <t xml:space="preserve">FECHA 27: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YUPANQUI (V)</t>
    </r>
  </si>
  <si>
    <r>
      <t xml:space="preserve">FECHA 29: </t>
    </r>
    <r>
      <rPr>
        <sz val="11"/>
        <color theme="1"/>
        <rFont val="Calibri"/>
        <family val="2"/>
        <scheme val="minor"/>
      </rPr>
      <t>0-1 vs L. N. ALEM (V)</t>
    </r>
  </si>
  <si>
    <r>
      <t xml:space="preserve">FECHA 31: </t>
    </r>
    <r>
      <rPr>
        <sz val="11"/>
        <color theme="1"/>
        <rFont val="Calibri"/>
        <family val="2"/>
        <scheme val="minor"/>
      </rPr>
      <t>0-1 vs LAFERRERE (L)</t>
    </r>
  </si>
  <si>
    <r>
      <t xml:space="preserve">FECHA 32: </t>
    </r>
    <r>
      <rPr>
        <sz val="11"/>
        <color theme="1"/>
        <rFont val="Calibri"/>
        <family val="2"/>
        <scheme val="minor"/>
      </rPr>
      <t>0-3 vs EXCURSIONISTAS (V)</t>
    </r>
  </si>
  <si>
    <r>
      <t xml:space="preserve">FECHA 33: </t>
    </r>
    <r>
      <rPr>
        <sz val="11"/>
        <color theme="1"/>
        <rFont val="Calibri"/>
        <family val="2"/>
        <scheme val="minor"/>
      </rPr>
      <t>2-1 vs SAN MARTÍN B (L)</t>
    </r>
  </si>
  <si>
    <r>
      <t xml:space="preserve">FECHA 34: </t>
    </r>
    <r>
      <rPr>
        <sz val="11"/>
        <color theme="1"/>
        <rFont val="Calibri"/>
        <family val="2"/>
        <scheme val="minor"/>
      </rPr>
      <t>0-2 vs GRAL. LAMADRID (V)</t>
    </r>
  </si>
  <si>
    <r>
      <t xml:space="preserve">FECHA 35: </t>
    </r>
    <r>
      <rPr>
        <sz val="11"/>
        <color theme="1"/>
        <rFont val="Calibri"/>
        <family val="2"/>
        <scheme val="minor"/>
      </rPr>
      <t>1-1 vs J.J. URQUIZA (L)</t>
    </r>
  </si>
  <si>
    <r>
      <t>FECHA 36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1-0 vs CTRAL. CÓRDOBA (V)</t>
    </r>
  </si>
  <si>
    <r>
      <t>FECHA 37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2-1 vs LINIERS (L)</t>
    </r>
  </si>
  <si>
    <r>
      <t>FECHA 38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0-3 vs REAL PILAR (V)</t>
    </r>
  </si>
  <si>
    <t>RAMÍREZ</t>
  </si>
  <si>
    <t>Damián</t>
  </si>
  <si>
    <t>LOMBARDI</t>
  </si>
  <si>
    <t>Valentín</t>
  </si>
  <si>
    <t>ROMAY</t>
  </si>
  <si>
    <t>Mauro</t>
  </si>
  <si>
    <t>CORONEL</t>
  </si>
  <si>
    <t>MERLO</t>
  </si>
  <si>
    <t>CALO</t>
  </si>
  <si>
    <t>SALOMONE</t>
  </si>
  <si>
    <t>FASSI</t>
  </si>
  <si>
    <t>FABIÁN</t>
  </si>
  <si>
    <t>FABIÁN, Kevin</t>
  </si>
  <si>
    <t>FIGUEROA</t>
  </si>
  <si>
    <t>Agustín</t>
  </si>
  <si>
    <t>ROUCO</t>
  </si>
  <si>
    <t>TORANCIO</t>
  </si>
  <si>
    <t>Elias</t>
  </si>
  <si>
    <t>Lautaro</t>
  </si>
  <si>
    <t>VÁZQUEZ</t>
  </si>
  <si>
    <t>Juan Cruz</t>
  </si>
  <si>
    <t>UZZANTE</t>
  </si>
  <si>
    <t>Sebastián</t>
  </si>
  <si>
    <t>Javier</t>
  </si>
  <si>
    <t>MEIER</t>
  </si>
  <si>
    <t>SEQUEIRA</t>
  </si>
  <si>
    <t>Enzo</t>
  </si>
  <si>
    <t>PETRONE</t>
  </si>
  <si>
    <t>OLTMANN</t>
  </si>
  <si>
    <t>Lucas</t>
  </si>
  <si>
    <t>AGUDELO</t>
  </si>
  <si>
    <t>Fabián</t>
  </si>
  <si>
    <t>CARDOZO</t>
  </si>
  <si>
    <t>Gonzalo</t>
  </si>
  <si>
    <t>MAGNANO</t>
  </si>
  <si>
    <t>Tomás</t>
  </si>
  <si>
    <t>Franco</t>
  </si>
  <si>
    <r>
      <t xml:space="preserve">FECHA 23: </t>
    </r>
    <r>
      <rPr>
        <sz val="11"/>
        <color theme="1"/>
        <rFont val="Calibri"/>
        <family val="2"/>
        <scheme val="minor"/>
      </rPr>
      <t>1-1 vs DEP. ESPAÑOL (V)</t>
    </r>
  </si>
  <si>
    <t>SUELDO</t>
  </si>
  <si>
    <t>Luján David</t>
  </si>
  <si>
    <t>MARTÍNEZ</t>
  </si>
  <si>
    <r>
      <t>FECHA 8</t>
    </r>
    <r>
      <rPr>
        <sz val="11"/>
        <color theme="1"/>
        <rFont val="Calibri"/>
        <family val="2"/>
        <scheme val="minor"/>
      </rPr>
      <t>: 0-2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vs SP. BARRACAS (V)</t>
    </r>
  </si>
  <si>
    <t>Dylan Monzón y Álan Salmantón</t>
  </si>
  <si>
    <t>SOSA</t>
  </si>
  <si>
    <t>Carlos</t>
  </si>
  <si>
    <t>Rafael Neris</t>
  </si>
  <si>
    <t>Camilo</t>
  </si>
  <si>
    <t>GOL Damián RAMÍREZ</t>
  </si>
  <si>
    <t>Mateo</t>
  </si>
  <si>
    <t>EMANUEL IBAÑEZ</t>
  </si>
  <si>
    <t>TOTAL TEMPORADA 2022</t>
  </si>
  <si>
    <r>
      <t xml:space="preserve">FECHA 1: </t>
    </r>
    <r>
      <rPr>
        <sz val="11"/>
        <color theme="1"/>
        <rFont val="Calibri"/>
        <family val="2"/>
        <scheme val="minor"/>
      </rPr>
      <t>1-0 vs SAN MARTÍN B (L)</t>
    </r>
  </si>
  <si>
    <t>TOTAL TORNEO CLAUSURA 2022</t>
  </si>
  <si>
    <t>TOTAL TORNEO APERTURA 2022</t>
  </si>
  <si>
    <r>
      <t xml:space="preserve">FECHA 2: </t>
    </r>
    <r>
      <rPr>
        <sz val="11"/>
        <color theme="1"/>
        <rFont val="Calibri"/>
        <family val="2"/>
        <scheme val="minor"/>
      </rPr>
      <t>2-2 vs EL PORVENIR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</si>
  <si>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0-1 vs L. N. ALEM (L)</t>
    </r>
  </si>
  <si>
    <r>
      <t xml:space="preserve">FECHA 4: </t>
    </r>
    <r>
      <rPr>
        <sz val="11"/>
        <color theme="1"/>
        <rFont val="Calibri"/>
        <family val="2"/>
        <scheme val="minor"/>
      </rPr>
      <t>0-3 vs SP. ITALIANO (V)</t>
    </r>
  </si>
  <si>
    <r>
      <t xml:space="preserve">FECHA 5: </t>
    </r>
    <r>
      <rPr>
        <sz val="11"/>
        <color theme="1"/>
        <rFont val="Calibri"/>
        <family val="2"/>
        <scheme val="minor"/>
      </rPr>
      <t>2-0 vs CTRAL. CÓRDOBA (L)</t>
    </r>
  </si>
  <si>
    <r>
      <t xml:space="preserve">FECHA 6: </t>
    </r>
    <r>
      <rPr>
        <sz val="11"/>
        <color theme="1"/>
        <rFont val="Calibri"/>
        <family val="2"/>
        <scheme val="minor"/>
      </rPr>
      <t>0-2 vs DEP. ESPAÑOL (V)</t>
    </r>
  </si>
  <si>
    <r>
      <t xml:space="preserve">FECHA 7: </t>
    </r>
    <r>
      <rPr>
        <sz val="11"/>
        <color theme="1"/>
        <rFont val="Calibri"/>
        <family val="2"/>
        <scheme val="minor"/>
      </rPr>
      <t>2-3 vs MIDLAND (L)</t>
    </r>
  </si>
  <si>
    <r>
      <t xml:space="preserve">FECHA 8: </t>
    </r>
    <r>
      <rPr>
        <sz val="11"/>
        <color theme="1"/>
        <rFont val="Calibri"/>
        <family val="2"/>
        <scheme val="minor"/>
      </rPr>
      <t>1-3 vs LINIERS (V)</t>
    </r>
  </si>
  <si>
    <r>
      <t xml:space="preserve">FECHA 9: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EXCURSIONISTAS (L)</t>
    </r>
  </si>
  <si>
    <r>
      <t xml:space="preserve">FECHA 10: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</si>
  <si>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r>
      <t xml:space="preserve">FECHA 11: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CLAYPOLE (L)</t>
    </r>
  </si>
  <si>
    <r>
      <t xml:space="preserve">FECHA 13: </t>
    </r>
    <r>
      <rPr>
        <sz val="11"/>
        <color theme="1"/>
        <rFont val="Calibri"/>
        <family val="2"/>
        <scheme val="minor"/>
      </rPr>
      <t>2-3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LUJÁN (V)</t>
    </r>
  </si>
  <si>
    <r>
      <t xml:space="preserve">FECHA 14: </t>
    </r>
    <r>
      <rPr>
        <sz val="11"/>
        <color theme="1"/>
        <rFont val="Calibri"/>
        <family val="2"/>
        <scheme val="minor"/>
      </rPr>
      <t>0-0 vs LAFERRERE (L)</t>
    </r>
  </si>
  <si>
    <r>
      <t xml:space="preserve">FECHA 16: </t>
    </r>
    <r>
      <rPr>
        <sz val="11"/>
        <color theme="1"/>
        <rFont val="Calibri"/>
        <family val="2"/>
        <scheme val="minor"/>
      </rPr>
      <t>2-1 vs ARG. DE MERLO (L)</t>
    </r>
  </si>
  <si>
    <r>
      <t xml:space="preserve">FECHA 17: </t>
    </r>
    <r>
      <rPr>
        <sz val="11"/>
        <color theme="1"/>
        <rFont val="Calibri"/>
        <family val="2"/>
        <scheme val="minor"/>
      </rPr>
      <t>0-4 vs BERAZATEGUI (V)</t>
    </r>
  </si>
  <si>
    <r>
      <t xml:space="preserve">FECHA 18: </t>
    </r>
    <r>
      <rPr>
        <sz val="11"/>
        <color theme="1"/>
        <rFont val="Calibri"/>
        <family val="2"/>
        <scheme val="minor"/>
      </rPr>
      <t>1-0 vs GRAL. LAMADRID (L)</t>
    </r>
  </si>
  <si>
    <r>
      <t xml:space="preserve">FECHA 19: </t>
    </r>
    <r>
      <rPr>
        <sz val="11"/>
        <color theme="1"/>
        <rFont val="Calibri"/>
        <family val="2"/>
        <scheme val="minor"/>
      </rPr>
      <t>0-3 vs REAL PILAR (V)</t>
    </r>
  </si>
  <si>
    <r>
      <t xml:space="preserve">FECHA 1: </t>
    </r>
    <r>
      <rPr>
        <sz val="11"/>
        <color theme="1"/>
        <rFont val="Calibri"/>
        <family val="2"/>
        <scheme val="minor"/>
      </rPr>
      <t>1-3 vs SAN MARTÍN B (V)</t>
    </r>
  </si>
  <si>
    <r>
      <t xml:space="preserve">FECHA 3: </t>
    </r>
    <r>
      <rPr>
        <sz val="11"/>
        <color theme="1"/>
        <rFont val="Calibri"/>
        <family val="2"/>
        <scheme val="minor"/>
      </rPr>
      <t>0-0 vs L. N. ALEM (V)</t>
    </r>
  </si>
  <si>
    <r>
      <t xml:space="preserve">FECHA 4: </t>
    </r>
    <r>
      <rPr>
        <sz val="11"/>
        <color theme="1"/>
        <rFont val="Calibri"/>
        <family val="2"/>
        <scheme val="minor"/>
      </rPr>
      <t>2-1 vs SP. ITALIANO (L)</t>
    </r>
  </si>
  <si>
    <r>
      <t xml:space="preserve">FECHA 5: </t>
    </r>
    <r>
      <rPr>
        <sz val="11"/>
        <color theme="1"/>
        <rFont val="Calibri"/>
        <family val="2"/>
        <scheme val="minor"/>
      </rPr>
      <t>1-2 vs CTRAL. CÓRDOBA (V)</t>
    </r>
  </si>
  <si>
    <r>
      <t xml:space="preserve">FECHA 6: </t>
    </r>
    <r>
      <rPr>
        <sz val="11"/>
        <color theme="1"/>
        <rFont val="Calibri"/>
        <family val="2"/>
        <scheme val="minor"/>
      </rPr>
      <t>0-1 vs DEP. ESPAÑOL (L)</t>
    </r>
  </si>
  <si>
    <r>
      <t xml:space="preserve">FECHA 7: </t>
    </r>
    <r>
      <rPr>
        <sz val="11"/>
        <color theme="1"/>
        <rFont val="Calibri"/>
        <family val="2"/>
        <scheme val="minor"/>
      </rPr>
      <t>0-3 vs MIDLAND (V)</t>
    </r>
  </si>
  <si>
    <r>
      <t xml:space="preserve">FECHA 8: </t>
    </r>
    <r>
      <rPr>
        <sz val="11"/>
        <color theme="1"/>
        <rFont val="Calibri"/>
        <family val="2"/>
        <scheme val="minor"/>
      </rPr>
      <t>1-2 vs LINIERS (L)</t>
    </r>
  </si>
  <si>
    <r>
      <t xml:space="preserve">FECHA 9: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EXCURSIONISTAS (V)</t>
    </r>
  </si>
  <si>
    <r>
      <t xml:space="preserve">FECHA 10: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(L)</t>
    </r>
  </si>
  <si>
    <r>
      <t xml:space="preserve">FECHA 11: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CLAYPOLE (V)</t>
    </r>
  </si>
  <si>
    <r>
      <t xml:space="preserve">FECHA 13: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LUJÁN (L)</t>
    </r>
  </si>
  <si>
    <r>
      <t xml:space="preserve">FECHA 14: </t>
    </r>
    <r>
      <rPr>
        <sz val="11"/>
        <color theme="1"/>
        <rFont val="Calibri"/>
        <family val="2"/>
        <scheme val="minor"/>
      </rPr>
      <t>0-1 vs LAFERRERE (V)</t>
    </r>
  </si>
  <si>
    <r>
      <t xml:space="preserve">FECHA 15: </t>
    </r>
    <r>
      <rPr>
        <sz val="11"/>
        <color theme="1"/>
        <rFont val="Calibri"/>
        <family val="2"/>
        <scheme val="minor"/>
      </rPr>
      <t>0-0 vs PUERTO NUEVO (L)</t>
    </r>
  </si>
  <si>
    <r>
      <t xml:space="preserve">FECHA 16: </t>
    </r>
    <r>
      <rPr>
        <sz val="11"/>
        <color theme="1"/>
        <rFont val="Calibri"/>
        <family val="2"/>
        <scheme val="minor"/>
      </rPr>
      <t>1-4 vs ARG. DE MERLO (V)</t>
    </r>
  </si>
  <si>
    <r>
      <t xml:space="preserve">FECHA 17: </t>
    </r>
    <r>
      <rPr>
        <sz val="11"/>
        <color theme="1"/>
        <rFont val="Calibri"/>
        <family val="2"/>
        <scheme val="minor"/>
      </rPr>
      <t>2-0 vs BERAZATEGUI (L)</t>
    </r>
  </si>
  <si>
    <r>
      <t xml:space="preserve">FECHA 19: </t>
    </r>
    <r>
      <rPr>
        <sz val="11"/>
        <color theme="1"/>
        <rFont val="Calibri"/>
        <family val="2"/>
        <scheme val="minor"/>
      </rPr>
      <t>1-1 vs REAL PILAR (L)</t>
    </r>
  </si>
  <si>
    <t>--------</t>
  </si>
  <si>
    <t>CONVIRTIÓ LEGUIZA</t>
  </si>
  <si>
    <t>CONVIRTIÓ SALOMONE</t>
  </si>
  <si>
    <t>DESCRIPCIÓN PENALES E/C</t>
  </si>
  <si>
    <t>DESCRIPCIÓN PENALES A/F</t>
  </si>
  <si>
    <t>ATAJÓ ÁBALOS</t>
  </si>
  <si>
    <t>CONVERTIDOS</t>
  </si>
  <si>
    <t>ATAJÓ GARCÍA</t>
  </si>
  <si>
    <t>CONVIRTIÓ ZACARÍAS</t>
  </si>
  <si>
    <t>CONVIRTIÓ</t>
  </si>
  <si>
    <t>ATAJÓ RAMÍREZ</t>
  </si>
  <si>
    <t>BRANDON</t>
  </si>
  <si>
    <t>Manuel</t>
  </si>
  <si>
    <t>BARRIOS</t>
  </si>
  <si>
    <t>ÁVALOS</t>
  </si>
  <si>
    <t>Alejandro</t>
  </si>
  <si>
    <t>Fernando</t>
  </si>
  <si>
    <t>FERNÁNDEZ</t>
  </si>
  <si>
    <t>TRINAJSTIC</t>
  </si>
  <si>
    <t>ACOSTA</t>
  </si>
  <si>
    <t>Maximiliano</t>
  </si>
  <si>
    <t>RUIZ</t>
  </si>
  <si>
    <t>TORRES</t>
  </si>
  <si>
    <t>SÁNCHEZ</t>
  </si>
  <si>
    <t>ESCOBAR</t>
  </si>
  <si>
    <t>URÁN</t>
  </si>
  <si>
    <t>SCHIMPP</t>
  </si>
  <si>
    <t>VALDÉZ</t>
  </si>
  <si>
    <t>Gastón</t>
  </si>
  <si>
    <t>CRUPI</t>
  </si>
  <si>
    <t>Rodrigo</t>
  </si>
  <si>
    <t>CASTAGNA</t>
  </si>
  <si>
    <t>ORMEÑO YACANTE</t>
  </si>
  <si>
    <t>GODOY GILL</t>
  </si>
  <si>
    <t>LEGUIZA</t>
  </si>
  <si>
    <t>VÉLIZ</t>
  </si>
  <si>
    <t>SAIEVA</t>
  </si>
  <si>
    <t>VALLEJOS</t>
  </si>
  <si>
    <t>Diego Germán</t>
  </si>
  <si>
    <t>Franco Leonel</t>
  </si>
  <si>
    <r>
      <t xml:space="preserve">FECHA 2: </t>
    </r>
    <r>
      <rPr>
        <sz val="11"/>
        <color theme="1"/>
        <rFont val="Calibri"/>
        <family val="2"/>
        <scheme val="minor"/>
      </rPr>
      <t>1-1 vs EL PORVENIR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</si>
  <si>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t>ATAJÓ RODRÍUEZ</t>
  </si>
  <si>
    <t>Álan Daniel</t>
  </si>
  <si>
    <t>ERRÓ SALOMONE</t>
  </si>
  <si>
    <t>Thiago</t>
  </si>
  <si>
    <r>
      <t xml:space="preserve">FECHA 18: </t>
    </r>
    <r>
      <rPr>
        <sz val="11"/>
        <color theme="1"/>
        <rFont val="Calibri"/>
        <family val="2"/>
        <scheme val="minor"/>
      </rPr>
      <t>2-1 vs GRAL. LAMADRID (V)</t>
    </r>
  </si>
  <si>
    <t>Matías Ramón</t>
  </si>
  <si>
    <t>MIRANDA</t>
  </si>
  <si>
    <t>Álex Nahuel</t>
  </si>
  <si>
    <r>
      <t xml:space="preserve">FECHA 15: </t>
    </r>
    <r>
      <rPr>
        <sz val="11"/>
        <color theme="1"/>
        <rFont val="Calibri"/>
        <family val="2"/>
        <scheme val="minor"/>
      </rPr>
      <t>1-0 vs PUERTO NUEVO (V)</t>
    </r>
  </si>
  <si>
    <t>APERTURA 21</t>
  </si>
  <si>
    <t>CLAUSURA 21</t>
  </si>
  <si>
    <t>3-3</t>
  </si>
  <si>
    <t>DOCK SUD</t>
  </si>
  <si>
    <t>4-0</t>
  </si>
  <si>
    <t>3-1</t>
  </si>
  <si>
    <t>4-4</t>
  </si>
  <si>
    <t>TOTAL TORNEO CLAUSURA 2021</t>
  </si>
  <si>
    <t>TOTAL TEMPORADA 2021</t>
  </si>
  <si>
    <t>TOTAL TORNEO APERTURA 2021</t>
  </si>
  <si>
    <r>
      <t xml:space="preserve">FECHA 1: </t>
    </r>
    <r>
      <rPr>
        <sz val="11"/>
        <color theme="1"/>
        <rFont val="Calibri"/>
        <family val="2"/>
        <scheme val="minor"/>
      </rPr>
      <t>0-3 vs EXCURSIONISTAS (V)</t>
    </r>
  </si>
  <si>
    <r>
      <t xml:space="preserve">FECHA 2: </t>
    </r>
    <r>
      <rPr>
        <sz val="11"/>
        <color theme="1"/>
        <rFont val="Calibri"/>
        <family val="2"/>
        <scheme val="minor"/>
      </rPr>
      <t>1-1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</si>
  <si>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3: </t>
    </r>
    <r>
      <rPr>
        <sz val="11"/>
        <color theme="1"/>
        <rFont val="Calibri"/>
        <family val="2"/>
        <scheme val="minor"/>
      </rPr>
      <t>2-1 vs L. N. ALEM (V)</t>
    </r>
  </si>
  <si>
    <r>
      <t xml:space="preserve">FECHA 4: </t>
    </r>
    <r>
      <rPr>
        <sz val="11"/>
        <color theme="1"/>
        <rFont val="Calibri"/>
        <family val="2"/>
        <scheme val="minor"/>
      </rPr>
      <t>3-3 vs ARG. DE MERLO (L)</t>
    </r>
  </si>
  <si>
    <r>
      <t xml:space="preserve">FECHA 5: </t>
    </r>
    <r>
      <rPr>
        <sz val="11"/>
        <color theme="1"/>
        <rFont val="Calibri"/>
        <family val="2"/>
        <scheme val="minor"/>
      </rPr>
      <t>1-3 vs ITUZAINGÓ (V)</t>
    </r>
  </si>
  <si>
    <r>
      <t xml:space="preserve">FECHA 6: </t>
    </r>
    <r>
      <rPr>
        <sz val="11"/>
        <color theme="1"/>
        <rFont val="Calibri"/>
        <family val="2"/>
        <scheme val="minor"/>
      </rPr>
      <t>1-2 vs DOCK SUD (L)</t>
    </r>
  </si>
  <si>
    <r>
      <t xml:space="preserve">FECHA 7: </t>
    </r>
    <r>
      <rPr>
        <sz val="11"/>
        <color theme="1"/>
        <rFont val="Calibri"/>
        <family val="2"/>
        <scheme val="minor"/>
      </rPr>
      <t>1-3 vs LAFERRERE (V)</t>
    </r>
  </si>
  <si>
    <r>
      <t xml:space="preserve">FECHA 8: </t>
    </r>
    <r>
      <rPr>
        <sz val="11"/>
        <color theme="1"/>
        <rFont val="Calibri"/>
        <family val="2"/>
        <scheme val="minor"/>
      </rPr>
      <t>0-1 vs CLAYPOLE (L)</t>
    </r>
  </si>
  <si>
    <r>
      <t>FECHA 9:</t>
    </r>
    <r>
      <rPr>
        <sz val="11"/>
        <color theme="1"/>
        <rFont val="Calibri"/>
        <family val="2"/>
        <scheme val="minor"/>
      </rPr>
      <t xml:space="preserve"> 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(V)</t>
    </r>
  </si>
  <si>
    <r>
      <t xml:space="preserve">FECHA 10: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GRAL. LAMADRID (L)</t>
    </r>
  </si>
  <si>
    <r>
      <t xml:space="preserve">FECHA 12: </t>
    </r>
    <r>
      <rPr>
        <sz val="11"/>
        <color theme="1"/>
        <rFont val="Calibri"/>
        <family val="2"/>
        <scheme val="minor"/>
      </rPr>
      <t>0-3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</si>
  <si>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r>
      <t xml:space="preserve">FECHA 13: </t>
    </r>
    <r>
      <rPr>
        <sz val="11"/>
        <color theme="1"/>
        <rFont val="Calibri"/>
        <family val="2"/>
        <scheme val="minor"/>
      </rPr>
      <t>1-1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MIDLAND (L)</t>
    </r>
  </si>
  <si>
    <r>
      <t xml:space="preserve">FECHA 14: </t>
    </r>
    <r>
      <rPr>
        <sz val="11"/>
        <color theme="1"/>
        <rFont val="Calibri"/>
        <family val="2"/>
        <scheme val="minor"/>
      </rPr>
      <t>0-1 vs LUJÁN (V)</t>
    </r>
  </si>
  <si>
    <r>
      <t xml:space="preserve">FECHA 15: </t>
    </r>
    <r>
      <rPr>
        <sz val="11"/>
        <color theme="1"/>
        <rFont val="Calibri"/>
        <family val="2"/>
        <scheme val="minor"/>
      </rPr>
      <t>0-0 vs DEP. ESPAÑOL (L)</t>
    </r>
  </si>
  <si>
    <r>
      <t xml:space="preserve">FECHA 16: </t>
    </r>
    <r>
      <rPr>
        <sz val="11"/>
        <color theme="1"/>
        <rFont val="Calibri"/>
        <family val="2"/>
        <scheme val="minor"/>
      </rPr>
      <t>0-0 vs EL PORVENIR (V)</t>
    </r>
  </si>
  <si>
    <r>
      <t xml:space="preserve">FECHA 17: </t>
    </r>
    <r>
      <rPr>
        <sz val="11"/>
        <color theme="1"/>
        <rFont val="Calibri"/>
        <family val="2"/>
        <scheme val="minor"/>
      </rPr>
      <t>4-0 vs SP. ITALIANO (L)</t>
    </r>
  </si>
  <si>
    <r>
      <t xml:space="preserve">FECHA 19: </t>
    </r>
    <r>
      <rPr>
        <sz val="11"/>
        <color theme="1"/>
        <rFont val="Calibri"/>
        <family val="2"/>
        <scheme val="minor"/>
      </rPr>
      <t>0-1 vs CTRAL. CÓRDOBA (L)</t>
    </r>
  </si>
  <si>
    <r>
      <t xml:space="preserve">FECHA 1: </t>
    </r>
    <r>
      <rPr>
        <sz val="11"/>
        <color theme="1"/>
        <rFont val="Calibri"/>
        <family val="2"/>
        <scheme val="minor"/>
      </rPr>
      <t>0-1 vs EXCURSIONISTAS (L)</t>
    </r>
  </si>
  <si>
    <r>
      <t xml:space="preserve">FECHA 2: </t>
    </r>
    <r>
      <rPr>
        <sz val="11"/>
        <color theme="1"/>
        <rFont val="Calibri"/>
        <family val="2"/>
        <scheme val="minor"/>
      </rPr>
      <t>3-3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</si>
  <si>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3-0 vs L. N. ALEM (L)</t>
    </r>
  </si>
  <si>
    <r>
      <t xml:space="preserve">FECHA 4: </t>
    </r>
    <r>
      <rPr>
        <sz val="11"/>
        <color theme="1"/>
        <rFont val="Calibri"/>
        <family val="2"/>
        <scheme val="minor"/>
      </rPr>
      <t>1-2 vs ARG. DE MERLO (V)</t>
    </r>
  </si>
  <si>
    <r>
      <t xml:space="preserve">FECHA 5: </t>
    </r>
    <r>
      <rPr>
        <sz val="11"/>
        <color theme="1"/>
        <rFont val="Calibri"/>
        <family val="2"/>
        <scheme val="minor"/>
      </rPr>
      <t>1-1 vs ITUZAINGÓ (L)</t>
    </r>
  </si>
  <si>
    <r>
      <t xml:space="preserve">FECHA 6: </t>
    </r>
    <r>
      <rPr>
        <sz val="11"/>
        <color theme="1"/>
        <rFont val="Calibri"/>
        <family val="2"/>
        <scheme val="minor"/>
      </rPr>
      <t>0-1 vs DOCK SUD (V)</t>
    </r>
  </si>
  <si>
    <r>
      <t xml:space="preserve">FECHA 7: </t>
    </r>
    <r>
      <rPr>
        <sz val="11"/>
        <color theme="1"/>
        <rFont val="Calibri"/>
        <family val="2"/>
        <scheme val="minor"/>
      </rPr>
      <t>2-3 vs LAFERRERE (L)</t>
    </r>
  </si>
  <si>
    <r>
      <t>FECHA 9:</t>
    </r>
    <r>
      <rPr>
        <sz val="11"/>
        <color theme="1"/>
        <rFont val="Calibri"/>
        <family val="2"/>
        <scheme val="minor"/>
      </rPr>
      <t xml:space="preserve"> 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(L)</t>
    </r>
  </si>
  <si>
    <r>
      <t xml:space="preserve">FECHA 12: </t>
    </r>
    <r>
      <rPr>
        <sz val="11"/>
        <color theme="1"/>
        <rFont val="Calibri"/>
        <family val="2"/>
        <scheme val="minor"/>
      </rPr>
      <t>4-4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(L)</t>
    </r>
  </si>
  <si>
    <r>
      <t xml:space="preserve">FECHA 13: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MIDLAND (V)</t>
    </r>
  </si>
  <si>
    <r>
      <t xml:space="preserve">FECHA 14: </t>
    </r>
    <r>
      <rPr>
        <sz val="11"/>
        <color theme="1"/>
        <rFont val="Calibri"/>
        <family val="2"/>
        <scheme val="minor"/>
      </rPr>
      <t>2-2 vs LUJÁN (L)</t>
    </r>
  </si>
  <si>
    <r>
      <t xml:space="preserve">FECHA 15: </t>
    </r>
    <r>
      <rPr>
        <sz val="11"/>
        <color theme="1"/>
        <rFont val="Calibri"/>
        <family val="2"/>
        <scheme val="minor"/>
      </rPr>
      <t>1-1 vs DEP. ESPAÑOL (V)</t>
    </r>
  </si>
  <si>
    <r>
      <t xml:space="preserve">FECHA 16: </t>
    </r>
    <r>
      <rPr>
        <sz val="11"/>
        <color theme="1"/>
        <rFont val="Calibri"/>
        <family val="2"/>
        <scheme val="minor"/>
      </rPr>
      <t>3-1 vs EL PORVENIR (L)</t>
    </r>
  </si>
  <si>
    <r>
      <t xml:space="preserve">FECHA 17: </t>
    </r>
    <r>
      <rPr>
        <sz val="11"/>
        <color theme="1"/>
        <rFont val="Calibri"/>
        <family val="2"/>
        <scheme val="minor"/>
      </rPr>
      <t>1-1 vs SP. ITALIANO (V)</t>
    </r>
  </si>
  <si>
    <r>
      <t xml:space="preserve">FECHA 18: </t>
    </r>
    <r>
      <rPr>
        <sz val="11"/>
        <color theme="1"/>
        <rFont val="Calibri"/>
        <family val="2"/>
        <scheme val="minor"/>
      </rPr>
      <t>1-2 vs SAN MARTÍN B (L)</t>
    </r>
  </si>
  <si>
    <r>
      <t xml:space="preserve">FECHA 19: </t>
    </r>
    <r>
      <rPr>
        <sz val="11"/>
        <color theme="1"/>
        <rFont val="Calibri"/>
        <family val="2"/>
        <scheme val="minor"/>
      </rPr>
      <t>1-3 vs CTRAL. CÓRDOBA (V)</t>
    </r>
  </si>
  <si>
    <t>CAPPELLO</t>
  </si>
  <si>
    <t>Nazareno</t>
  </si>
  <si>
    <t>NEGRETTE</t>
  </si>
  <si>
    <t>VILLAGRA</t>
  </si>
  <si>
    <t>DURÁN</t>
  </si>
  <si>
    <t>Yamil</t>
  </si>
  <si>
    <t>ÁGUILA</t>
  </si>
  <si>
    <t>Germán</t>
  </si>
  <si>
    <t>BRAVO</t>
  </si>
  <si>
    <t>PEDREIRA</t>
  </si>
  <si>
    <t>FLEITA</t>
  </si>
  <si>
    <t>Maximiliano Acosta y Leandro Fleita</t>
  </si>
  <si>
    <t>Brandon, Acosta y Ramos</t>
  </si>
  <si>
    <t>Eladio</t>
  </si>
  <si>
    <t>Germán Águila</t>
  </si>
  <si>
    <t>Alejandro Ávalos</t>
  </si>
  <si>
    <t>DE RÍOS</t>
  </si>
  <si>
    <t>TOLOZA</t>
  </si>
  <si>
    <t>Gustavo Gabriel</t>
  </si>
  <si>
    <t>Nahuel Bravo</t>
  </si>
  <si>
    <t>Leandro Fleita</t>
  </si>
  <si>
    <t>VERA</t>
  </si>
  <si>
    <t>Braian Pedreira</t>
  </si>
  <si>
    <t>ÁLVAREZ</t>
  </si>
  <si>
    <t>VASCONCELO</t>
  </si>
  <si>
    <t>Daniel Zamora</t>
  </si>
  <si>
    <t>Ezequiel Yasinski</t>
  </si>
  <si>
    <t>CONVIRTIÓ ÁGUILA</t>
  </si>
  <si>
    <t>COSTAS</t>
  </si>
  <si>
    <t>Agustín Santiago</t>
  </si>
  <si>
    <t>RAMOS SALGADO</t>
  </si>
  <si>
    <t>Raúl Ismael</t>
  </si>
  <si>
    <t>BENÍTEZ</t>
  </si>
  <si>
    <t>jonathan</t>
  </si>
  <si>
    <t>CANTERO HERRERA</t>
  </si>
  <si>
    <t>Ulises Roberto</t>
  </si>
  <si>
    <t>Juan Pablo Battaglia</t>
  </si>
  <si>
    <t>Nicolás Villagra</t>
  </si>
  <si>
    <t>Cristian Suarez</t>
  </si>
  <si>
    <r>
      <t xml:space="preserve">FECHA 8: </t>
    </r>
    <r>
      <rPr>
        <sz val="11"/>
        <color theme="1"/>
        <rFont val="Calibri"/>
        <family val="2"/>
        <scheme val="minor"/>
      </rPr>
      <t>1-0 vs CLAYPOLE (V)</t>
    </r>
  </si>
  <si>
    <t>Ramiro Magallán</t>
  </si>
  <si>
    <r>
      <t xml:space="preserve">FECHA 18: </t>
    </r>
    <r>
      <rPr>
        <sz val="11"/>
        <color theme="1"/>
        <rFont val="Calibri"/>
        <family val="2"/>
        <scheme val="minor"/>
      </rPr>
      <t>3-1 vs SAN MARTÍN B (V)</t>
    </r>
  </si>
  <si>
    <r>
      <t xml:space="preserve">FECHA 10: </t>
    </r>
    <r>
      <rPr>
        <sz val="11"/>
        <color theme="1"/>
        <rFont val="Calibri"/>
        <family val="2"/>
        <scheme val="minor"/>
      </rPr>
      <t>2-1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GRAL. LAMADRID (V)</t>
    </r>
  </si>
  <si>
    <r>
      <t xml:space="preserve">FECHA 10: </t>
    </r>
    <r>
      <rPr>
        <sz val="11"/>
        <color theme="1"/>
        <rFont val="Calibri"/>
        <family val="2"/>
        <scheme val="minor"/>
      </rPr>
      <t xml:space="preserve"> 2-0 vs GRAL. LAMADRID (V)</t>
    </r>
  </si>
  <si>
    <r>
      <t xml:space="preserve">FECHA 9: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ESTRELLA DEL SUR (L)</t>
    </r>
  </si>
  <si>
    <t>Nicolás Mamberti y Nicolás González</t>
  </si>
  <si>
    <t>Iván Mastroieni</t>
  </si>
  <si>
    <t>ROLÓN INSAURRALDE</t>
  </si>
  <si>
    <t>ÁGUILA, Germán</t>
  </si>
  <si>
    <t>FLEITA, Leandro</t>
  </si>
  <si>
    <t>RAMOS, Eladio</t>
  </si>
  <si>
    <t>ORMEÑO YACANTE, Nahuel</t>
  </si>
  <si>
    <t>BRAVO, Nahuel</t>
  </si>
  <si>
    <t>BRANDON, Manuel</t>
  </si>
  <si>
    <t>PEDREIRA, Braian</t>
  </si>
  <si>
    <t>CASTAGNA, Milton</t>
  </si>
  <si>
    <t>DE RÍOS, Lautaro</t>
  </si>
  <si>
    <t>VILLALBA, Héctor Sebastián</t>
  </si>
  <si>
    <t>CLAUSURA 20</t>
  </si>
  <si>
    <t>TRANSICIÓN 20</t>
  </si>
  <si>
    <t>Manuel Brandon x2</t>
  </si>
  <si>
    <t>Sergio Geldstein</t>
  </si>
  <si>
    <t>Gonzalo Beloso</t>
  </si>
  <si>
    <t>Rodrigo Crupi</t>
  </si>
  <si>
    <t>Braian Pedreira y Nazareno Cappello</t>
  </si>
  <si>
    <t>Gabriel Toloza</t>
  </si>
  <si>
    <t>SERGIO GELDSTEIN</t>
  </si>
  <si>
    <r>
      <t xml:space="preserve">FECHA 1: </t>
    </r>
    <r>
      <rPr>
        <sz val="11"/>
        <color theme="1"/>
        <rFont val="Calibri"/>
        <family val="2"/>
        <scheme val="minor"/>
      </rPr>
      <t>2-2 vs CTRAL. CÓRDOBA (L)</t>
    </r>
  </si>
  <si>
    <r>
      <t xml:space="preserve">FECHA 2: </t>
    </r>
    <r>
      <rPr>
        <sz val="11"/>
        <color theme="1"/>
        <rFont val="Calibri"/>
        <family val="2"/>
        <scheme val="minor"/>
      </rPr>
      <t>1-1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</si>
  <si>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1-2 vs SAN MARTÍN B (L)</t>
    </r>
  </si>
  <si>
    <r>
      <t xml:space="preserve">FECHA 4: </t>
    </r>
    <r>
      <rPr>
        <sz val="11"/>
        <color theme="1"/>
        <rFont val="Calibri"/>
        <family val="2"/>
        <scheme val="minor"/>
      </rPr>
      <t>1-3 vs ITUZAINGÓ (V)</t>
    </r>
  </si>
  <si>
    <r>
      <t xml:space="preserve">FECHA 5: </t>
    </r>
    <r>
      <rPr>
        <sz val="11"/>
        <color theme="1"/>
        <rFont val="Calibri"/>
        <family val="2"/>
        <scheme val="minor"/>
      </rPr>
      <t>0-2 vs SP. ITALIANO (L)</t>
    </r>
  </si>
  <si>
    <t>PASTORIZA</t>
  </si>
  <si>
    <t>Emiliano</t>
  </si>
  <si>
    <t>SOTO DUARTE</t>
  </si>
  <si>
    <t>Cristian Joel</t>
  </si>
  <si>
    <t>CRUPI, Rodrigo</t>
  </si>
  <si>
    <t>TOLOZA, Gabriel</t>
  </si>
  <si>
    <t>5-1</t>
  </si>
  <si>
    <t>Juan Pablo Loustau</t>
  </si>
  <si>
    <t>Javier Delbarba</t>
  </si>
  <si>
    <t>Maximiliano Acosta y Germán Águila</t>
  </si>
  <si>
    <t>ATAJÓ VÉLIZ</t>
  </si>
  <si>
    <t>Damián Pérez Roa</t>
  </si>
  <si>
    <t>Romay, De Luca, Villagra, Pedreira y Acosta</t>
  </si>
  <si>
    <t>PÉREZ ROA, Damián</t>
  </si>
  <si>
    <t>DE LUCA</t>
  </si>
  <si>
    <t>DE LUCA, Sebastián</t>
  </si>
  <si>
    <t>TOTAL TRANSICIÓN 2020</t>
  </si>
  <si>
    <r>
      <t xml:space="preserve">FECHA 1: </t>
    </r>
    <r>
      <rPr>
        <sz val="11"/>
        <color theme="1"/>
        <rFont val="Calibri"/>
        <family val="2"/>
        <scheme val="minor"/>
      </rPr>
      <t>1-1 vs SAN MARTÍN B (V)</t>
    </r>
  </si>
  <si>
    <r>
      <t xml:space="preserve">FECHA 2: </t>
    </r>
    <r>
      <rPr>
        <sz val="11"/>
        <color theme="1"/>
        <rFont val="Calibri"/>
        <family val="2"/>
        <scheme val="minor"/>
      </rPr>
      <t>1-2 vs REAL PILAR (L)</t>
    </r>
  </si>
  <si>
    <r>
      <t xml:space="preserve">FECHA 3: </t>
    </r>
    <r>
      <rPr>
        <sz val="11"/>
        <color theme="1"/>
        <rFont val="Calibri"/>
        <family val="2"/>
        <scheme val="minor"/>
      </rPr>
      <t>0-1 vs EXCURSIONISTAS (V)</t>
    </r>
  </si>
  <si>
    <r>
      <t xml:space="preserve">FECHA 5: </t>
    </r>
    <r>
      <rPr>
        <sz val="11"/>
        <color theme="1"/>
        <rFont val="Calibri"/>
        <family val="2"/>
        <scheme val="minor"/>
      </rPr>
      <t>2-1 vs ITUZAINGÓ (L)</t>
    </r>
  </si>
  <si>
    <r>
      <t>FECHA 6:</t>
    </r>
    <r>
      <rPr>
        <sz val="11"/>
        <color theme="1"/>
        <rFont val="Calibri"/>
        <family val="2"/>
        <scheme val="minor"/>
      </rPr>
      <t xml:space="preserve"> 2-0 vs DEP. ESPAÑOL (V)</t>
    </r>
  </si>
  <si>
    <r>
      <t xml:space="preserve">FECHA 7: </t>
    </r>
    <r>
      <rPr>
        <sz val="11"/>
        <color theme="1"/>
        <rFont val="Calibri"/>
        <family val="2"/>
        <scheme val="minor"/>
      </rPr>
      <t>2-2 vs CAÑUELAS (L)</t>
    </r>
  </si>
  <si>
    <r>
      <t xml:space="preserve">FECHA 8: </t>
    </r>
    <r>
      <rPr>
        <sz val="11"/>
        <color theme="1"/>
        <rFont val="Calibri"/>
        <family val="2"/>
        <scheme val="minor"/>
      </rPr>
      <t>1-1 vs SP. ITALIANO (V)</t>
    </r>
  </si>
  <si>
    <r>
      <t xml:space="preserve">FECHA 9: </t>
    </r>
    <r>
      <rPr>
        <sz val="11"/>
        <color theme="1"/>
        <rFont val="Calibri"/>
        <family val="2"/>
        <scheme val="minor"/>
      </rPr>
      <t>5-1 vs ARG. DE MERLO (L)</t>
    </r>
  </si>
  <si>
    <t>BUSTAMANTE</t>
  </si>
  <si>
    <t>PÉREZ ROA</t>
  </si>
  <si>
    <t>Damián Cristian</t>
  </si>
  <si>
    <t>GUTIÉRREZ</t>
  </si>
  <si>
    <t>TOTAL TORNEO CLAUSURA 2020</t>
  </si>
  <si>
    <t>Monzón, N. González y Salmantón</t>
  </si>
  <si>
    <r>
      <t xml:space="preserve">FECHA 11: </t>
    </r>
    <r>
      <rPr>
        <sz val="11"/>
        <color theme="1"/>
        <rFont val="Calibri"/>
        <family val="2"/>
        <scheme val="minor"/>
      </rPr>
      <t>3-1 vs CTRO ESPAÑOL (L)</t>
    </r>
  </si>
  <si>
    <t>APERTURA 19</t>
  </si>
  <si>
    <t>1-5</t>
  </si>
  <si>
    <t>3-2</t>
  </si>
  <si>
    <t>DEP. MERLO</t>
  </si>
  <si>
    <r>
      <t xml:space="preserve">FECHA 1: </t>
    </r>
    <r>
      <rPr>
        <sz val="11"/>
        <color theme="1"/>
        <rFont val="Calibri"/>
        <family val="2"/>
        <scheme val="minor"/>
      </rPr>
      <t>0-0 vs SAN MARTÍN B (L)</t>
    </r>
  </si>
  <si>
    <r>
      <t xml:space="preserve">FECHA 2: </t>
    </r>
    <r>
      <rPr>
        <sz val="11"/>
        <color theme="1"/>
        <rFont val="Calibri"/>
        <family val="2"/>
        <scheme val="minor"/>
      </rPr>
      <t>0-2 vs REAL PILAR (V)</t>
    </r>
  </si>
  <si>
    <r>
      <t xml:space="preserve">FECHA 3: </t>
    </r>
    <r>
      <rPr>
        <sz val="11"/>
        <color theme="1"/>
        <rFont val="Calibri"/>
        <family val="2"/>
        <scheme val="minor"/>
      </rPr>
      <t>1-1 vs EXCURSIONISTAS (L)</t>
    </r>
  </si>
  <si>
    <r>
      <t xml:space="preserve">FECHA 5: </t>
    </r>
    <r>
      <rPr>
        <sz val="11"/>
        <color theme="1"/>
        <rFont val="Calibri"/>
        <family val="2"/>
        <scheme val="minor"/>
      </rPr>
      <t>0-0 vs ITUZAINGÓ (V)</t>
    </r>
  </si>
  <si>
    <r>
      <t>FECHA 6:</t>
    </r>
    <r>
      <rPr>
        <sz val="11"/>
        <color theme="1"/>
        <rFont val="Calibri"/>
        <family val="2"/>
        <scheme val="minor"/>
      </rPr>
      <t xml:space="preserve"> 1-4 vs DEP. ESPAÑOL (L)</t>
    </r>
  </si>
  <si>
    <r>
      <t xml:space="preserve">FECHA 7: </t>
    </r>
    <r>
      <rPr>
        <sz val="11"/>
        <color theme="1"/>
        <rFont val="Calibri"/>
        <family val="2"/>
        <scheme val="minor"/>
      </rPr>
      <t>0-2 vs CAÑUELAS (V)</t>
    </r>
  </si>
  <si>
    <r>
      <t xml:space="preserve">FECHA 9: </t>
    </r>
    <r>
      <rPr>
        <sz val="11"/>
        <color theme="1"/>
        <rFont val="Calibri"/>
        <family val="2"/>
        <scheme val="minor"/>
      </rPr>
      <t>1-5 vs ARG. DE MERLO (V)</t>
    </r>
  </si>
  <si>
    <r>
      <t xml:space="preserve">FECHA 10: </t>
    </r>
    <r>
      <rPr>
        <sz val="11"/>
        <color theme="1"/>
        <rFont val="Calibri"/>
        <family val="2"/>
        <scheme val="minor"/>
      </rPr>
      <t>1-1 vs  L. N. ALEM (L)</t>
    </r>
  </si>
  <si>
    <r>
      <t xml:space="preserve">FECHA 11: </t>
    </r>
    <r>
      <rPr>
        <sz val="11"/>
        <color theme="1"/>
        <rFont val="Calibri"/>
        <family val="2"/>
        <scheme val="minor"/>
      </rPr>
      <t>3-0 vs EL PORVENIR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</si>
  <si>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12: </t>
    </r>
    <r>
      <rPr>
        <sz val="11"/>
        <color theme="1"/>
        <rFont val="Calibri"/>
        <family val="2"/>
        <scheme val="minor"/>
      </rPr>
      <t>0-1 vs GRAL. LAMADRID (L)</t>
    </r>
  </si>
  <si>
    <r>
      <t xml:space="preserve">FECHA 13: </t>
    </r>
    <r>
      <rPr>
        <sz val="11"/>
        <color theme="1"/>
        <rFont val="Calibri"/>
        <family val="2"/>
        <scheme val="minor"/>
      </rPr>
      <t>0-2 vs DOCK SUD (V)</t>
    </r>
  </si>
  <si>
    <r>
      <t xml:space="preserve">FECHA 14: </t>
    </r>
    <r>
      <rPr>
        <sz val="11"/>
        <color theme="1"/>
        <rFont val="Calibri"/>
        <family val="2"/>
        <scheme val="minor"/>
      </rPr>
      <t>3-2 vs MIDLAND (L)</t>
    </r>
  </si>
  <si>
    <t>TOTAL APERTURA 2019</t>
  </si>
  <si>
    <r>
      <t xml:space="preserve">FECHA 15: </t>
    </r>
    <r>
      <rPr>
        <sz val="11"/>
        <color theme="1"/>
        <rFont val="Calibri"/>
        <family val="2"/>
        <scheme val="minor"/>
      </rPr>
      <t>0-1 vs BERAZATEGUI (V)</t>
    </r>
  </si>
  <si>
    <r>
      <t xml:space="preserve">FECHA 16: </t>
    </r>
    <r>
      <rPr>
        <sz val="11"/>
        <color theme="1"/>
        <rFont val="Calibri"/>
        <family val="2"/>
        <scheme val="minor"/>
      </rPr>
      <t>1-0 vs CTRAL. CÓRDOBA (L)</t>
    </r>
  </si>
  <si>
    <r>
      <t xml:space="preserve">FECHA 17: </t>
    </r>
    <r>
      <rPr>
        <sz val="11"/>
        <color theme="1"/>
        <rFont val="Calibri"/>
        <family val="2"/>
        <scheme val="minor"/>
      </rPr>
      <t>1-0 vs LAFERRERE (V)</t>
    </r>
  </si>
  <si>
    <r>
      <t xml:space="preserve">FECHA 18: </t>
    </r>
    <r>
      <rPr>
        <sz val="11"/>
        <color theme="1"/>
        <rFont val="Calibri"/>
        <family val="2"/>
        <scheme val="minor"/>
      </rPr>
      <t>0-0 vs DEP. MERLO (L)</t>
    </r>
  </si>
  <si>
    <r>
      <t xml:space="preserve">FECHA 19: </t>
    </r>
    <r>
      <rPr>
        <sz val="11"/>
        <color theme="1"/>
        <rFont val="Calibri"/>
        <family val="2"/>
        <scheme val="minor"/>
      </rPr>
      <t>1-2 vs LUJÁN (V)</t>
    </r>
  </si>
  <si>
    <t>Pablo Ezequiel</t>
  </si>
  <si>
    <t>Franco Acita</t>
  </si>
  <si>
    <t>Maximiliano Negrette</t>
  </si>
  <si>
    <t>Ismael Torres y Maximiliano Acosta</t>
  </si>
  <si>
    <t>Romay, Acosta y Córdoba Mena</t>
  </si>
  <si>
    <t>CONVIRTIÓ SAIEVA</t>
  </si>
  <si>
    <t>Sebastián De Luca</t>
  </si>
  <si>
    <t>Claudio Saieva</t>
  </si>
  <si>
    <t>Claudio Hernán</t>
  </si>
  <si>
    <t>TRANSICIÓN 2020</t>
  </si>
  <si>
    <t>2019/2020</t>
  </si>
  <si>
    <t>TORRES, Ismael</t>
  </si>
  <si>
    <t>CÓRDOBA MENA, Editoson</t>
  </si>
  <si>
    <t>Pedreira, Torres y Saieva</t>
  </si>
  <si>
    <t>SAIEVA, Claudio</t>
  </si>
  <si>
    <t>CÓRDOBA MENA, Editson</t>
  </si>
  <si>
    <t>SIMONE</t>
  </si>
  <si>
    <t>GALARZA</t>
  </si>
  <si>
    <t>ACEVEDO TORRES</t>
  </si>
  <si>
    <t>QUiROGA</t>
  </si>
  <si>
    <t>Santiago</t>
  </si>
  <si>
    <t>Brandon y Gutiérrez</t>
  </si>
  <si>
    <t>ARG. ROSARIO</t>
  </si>
  <si>
    <t>TOTAL TEMPORADA 2018/2019</t>
  </si>
  <si>
    <t>TOTAL TEMPORADA 2019/2020</t>
  </si>
  <si>
    <r>
      <t xml:space="preserve">FECHA 8: </t>
    </r>
    <r>
      <rPr>
        <sz val="11"/>
        <color theme="1"/>
        <rFont val="Calibri"/>
        <family val="2"/>
        <scheme val="minor"/>
      </rPr>
      <t>2-1 vs SP. ITALIANO (L)</t>
    </r>
  </si>
  <si>
    <r>
      <t xml:space="preserve">FECHA 1: </t>
    </r>
    <r>
      <rPr>
        <sz val="11"/>
        <color theme="1"/>
        <rFont val="Calibri"/>
        <family val="2"/>
        <scheme val="minor"/>
      </rPr>
      <t>2-1 vs LAFERRERE (L)</t>
    </r>
  </si>
  <si>
    <r>
      <t xml:space="preserve">FECHA 2: </t>
    </r>
    <r>
      <rPr>
        <sz val="11"/>
        <color theme="1"/>
        <rFont val="Calibri"/>
        <family val="2"/>
        <scheme val="minor"/>
      </rPr>
      <t>2-0 vs SAN MARTÍN B (V)</t>
    </r>
  </si>
  <si>
    <r>
      <t xml:space="preserve">FECHA 3: </t>
    </r>
    <r>
      <rPr>
        <sz val="11"/>
        <color theme="1"/>
        <rFont val="Calibri"/>
        <family val="2"/>
        <scheme val="minor"/>
      </rPr>
      <t>3-1 vs MIDLAND (L)</t>
    </r>
  </si>
  <si>
    <r>
      <t xml:space="preserve">FECHA 5: </t>
    </r>
    <r>
      <rPr>
        <sz val="11"/>
        <color theme="1"/>
        <rFont val="Calibri"/>
        <family val="2"/>
        <scheme val="minor"/>
      </rPr>
      <t>2-3 vs SP. ITALIANO (L)</t>
    </r>
  </si>
  <si>
    <r>
      <t>FECHA 6:</t>
    </r>
    <r>
      <rPr>
        <sz val="11"/>
        <color theme="1"/>
        <rFont val="Calibri"/>
        <family val="2"/>
        <scheme val="minor"/>
      </rPr>
      <t xml:space="preserve"> 0-4 vs L. N. ALEM (V)</t>
    </r>
  </si>
  <si>
    <r>
      <t xml:space="preserve">FECHA 7: </t>
    </r>
    <r>
      <rPr>
        <sz val="11"/>
        <color theme="1"/>
        <rFont val="Calibri"/>
        <family val="2"/>
        <scheme val="minor"/>
      </rPr>
      <t>2-2 vs EXCURSIONISTAS (L)</t>
    </r>
  </si>
  <si>
    <r>
      <t xml:space="preserve">FECHA 8: </t>
    </r>
    <r>
      <rPr>
        <sz val="11"/>
        <color theme="1"/>
        <rFont val="Calibri"/>
        <family val="2"/>
        <scheme val="minor"/>
      </rPr>
      <t>5-0 vs VILLA SAN CARLOS (L)</t>
    </r>
  </si>
  <si>
    <r>
      <t xml:space="preserve">FECHA 10: </t>
    </r>
    <r>
      <rPr>
        <sz val="11"/>
        <color theme="1"/>
        <rFont val="Calibri"/>
        <family val="2"/>
        <scheme val="minor"/>
      </rPr>
      <t>0-1 vs  CTRAL. CÓRDOBA (L)</t>
    </r>
  </si>
  <si>
    <r>
      <t xml:space="preserve">FECHA 12: </t>
    </r>
    <r>
      <rPr>
        <sz val="11"/>
        <color theme="1"/>
        <rFont val="Calibri"/>
        <family val="2"/>
        <scheme val="minor"/>
      </rPr>
      <t>2-3 vs EL PORVENIR (L)</t>
    </r>
  </si>
  <si>
    <r>
      <t xml:space="preserve">FECHA 13: </t>
    </r>
    <r>
      <rPr>
        <sz val="11"/>
        <color theme="1"/>
        <rFont val="Calibri"/>
        <family val="2"/>
        <scheme val="minor"/>
      </rPr>
      <t>1-1 vs DEP. MERLO (V)</t>
    </r>
  </si>
  <si>
    <r>
      <t xml:space="preserve">FECHA 14: </t>
    </r>
    <r>
      <rPr>
        <sz val="11"/>
        <color theme="1"/>
        <rFont val="Calibri"/>
        <family val="2"/>
        <scheme val="minor"/>
      </rPr>
      <t>1-0 vs SP. BARRACAS (L)</t>
    </r>
  </si>
  <si>
    <r>
      <t xml:space="preserve">FECHA 15: </t>
    </r>
    <r>
      <rPr>
        <sz val="11"/>
        <color theme="1"/>
        <rFont val="Calibri"/>
        <family val="2"/>
        <scheme val="minor"/>
      </rPr>
      <t>2-3 vs LUJÁN (V)</t>
    </r>
  </si>
  <si>
    <r>
      <t xml:space="preserve">FECHA 16: </t>
    </r>
    <r>
      <rPr>
        <sz val="11"/>
        <color theme="1"/>
        <rFont val="Calibri"/>
        <family val="2"/>
        <scheme val="minor"/>
      </rPr>
      <t>2-3 vs GRAL. LAMADRID (L)</t>
    </r>
  </si>
  <si>
    <r>
      <t xml:space="preserve">FECHA 17: </t>
    </r>
    <r>
      <rPr>
        <sz val="11"/>
        <color theme="1"/>
        <rFont val="Calibri"/>
        <family val="2"/>
        <scheme val="minor"/>
      </rPr>
      <t>2-0 vs DOCK SUD (V)</t>
    </r>
  </si>
  <si>
    <r>
      <t xml:space="preserve">FECHA 18: </t>
    </r>
    <r>
      <rPr>
        <sz val="11"/>
        <color theme="1"/>
        <rFont val="Calibri"/>
        <family val="2"/>
        <scheme val="minor"/>
      </rPr>
      <t>0-1 vs ARG. DE QUILMES (L)</t>
    </r>
  </si>
  <si>
    <r>
      <t xml:space="preserve">FECHA 19: </t>
    </r>
    <r>
      <rPr>
        <sz val="11"/>
        <color theme="1"/>
        <rFont val="Calibri"/>
        <family val="2"/>
        <scheme val="minor"/>
      </rPr>
      <t>2-1 vs DEP. ARMENIO (V)</t>
    </r>
  </si>
  <si>
    <r>
      <t xml:space="preserve">FECHA 23: </t>
    </r>
    <r>
      <rPr>
        <sz val="11"/>
        <color theme="1"/>
        <rFont val="Calibri"/>
        <family val="2"/>
        <scheme val="minor"/>
      </rPr>
      <t>1-1 vs CAÑUELAS (L)</t>
    </r>
  </si>
  <si>
    <r>
      <t xml:space="preserve">FECHA 20: </t>
    </r>
    <r>
      <rPr>
        <sz val="11"/>
        <color theme="1"/>
        <rFont val="Calibri"/>
        <family val="2"/>
        <scheme val="minor"/>
      </rPr>
      <t>1-1 vs LAFERRERE (V)</t>
    </r>
  </si>
  <si>
    <r>
      <t xml:space="preserve">FECHA 21: </t>
    </r>
    <r>
      <rPr>
        <sz val="11"/>
        <color theme="1"/>
        <rFont val="Calibri"/>
        <family val="2"/>
        <scheme val="minor"/>
      </rPr>
      <t>0-3 vs SAN MARTÍN B (L)</t>
    </r>
  </si>
  <si>
    <r>
      <t xml:space="preserve">FECHA 22: </t>
    </r>
    <r>
      <rPr>
        <sz val="11"/>
        <color theme="1"/>
        <rFont val="Calibri"/>
        <family val="2"/>
        <scheme val="minor"/>
      </rPr>
      <t>2-1 vs MIDLAND (V)</t>
    </r>
  </si>
  <si>
    <r>
      <t xml:space="preserve">FECHA 24: </t>
    </r>
    <r>
      <rPr>
        <sz val="11"/>
        <color theme="1"/>
        <rFont val="Calibri"/>
        <family val="2"/>
        <scheme val="minor"/>
      </rPr>
      <t>2-2 vs SP. ITALIANO (V)</t>
    </r>
  </si>
  <si>
    <r>
      <t>FECHA 25:</t>
    </r>
    <r>
      <rPr>
        <sz val="11"/>
        <color theme="1"/>
        <rFont val="Calibri"/>
        <family val="2"/>
        <scheme val="minor"/>
      </rPr>
      <t xml:space="preserve"> 1-0 vs L. N. ALEM (L)</t>
    </r>
  </si>
  <si>
    <r>
      <t xml:space="preserve">FECHA 26: </t>
    </r>
    <r>
      <rPr>
        <sz val="11"/>
        <color theme="1"/>
        <rFont val="Calibri"/>
        <family val="2"/>
        <scheme val="minor"/>
      </rPr>
      <t>0-0 vs EXCURSIONISTAS (V)</t>
    </r>
  </si>
  <si>
    <r>
      <t xml:space="preserve">FECHA 30: </t>
    </r>
    <r>
      <rPr>
        <sz val="11"/>
        <color theme="1"/>
        <rFont val="Calibri"/>
        <family val="2"/>
        <scheme val="minor"/>
      </rPr>
      <t>1-1 vs ITUZAINGÓ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</si>
  <si>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31: </t>
    </r>
    <r>
      <rPr>
        <sz val="11"/>
        <color theme="1"/>
        <rFont val="Calibri"/>
        <family val="2"/>
        <scheme val="minor"/>
      </rPr>
      <t>0-1 vs EL PORVENIR (V)</t>
    </r>
  </si>
  <si>
    <r>
      <t xml:space="preserve">FECHA 32: </t>
    </r>
    <r>
      <rPr>
        <sz val="11"/>
        <color theme="1"/>
        <rFont val="Calibri"/>
        <family val="2"/>
        <scheme val="minor"/>
      </rPr>
      <t>0-1 vs DEP. MERLO (L)</t>
    </r>
  </si>
  <si>
    <r>
      <t xml:space="preserve">FECHA 37: </t>
    </r>
    <r>
      <rPr>
        <sz val="11"/>
        <color theme="1"/>
        <rFont val="Calibri"/>
        <family val="2"/>
        <scheme val="minor"/>
      </rPr>
      <t>0-1 vs ARG. DE QUILMES (V)</t>
    </r>
  </si>
  <si>
    <r>
      <t xml:space="preserve">FECHA 33: </t>
    </r>
    <r>
      <rPr>
        <sz val="11"/>
        <color theme="1"/>
        <rFont val="Calibri"/>
        <family val="2"/>
        <scheme val="minor"/>
      </rPr>
      <t>1-2 vs SP. BARRACAS (V)</t>
    </r>
  </si>
  <si>
    <r>
      <t xml:space="preserve">FECHA 34: </t>
    </r>
    <r>
      <rPr>
        <sz val="11"/>
        <color theme="1"/>
        <rFont val="Calibri"/>
        <family val="2"/>
        <scheme val="minor"/>
      </rPr>
      <t>1-0 vs LUJÁN (L)</t>
    </r>
  </si>
  <si>
    <r>
      <t xml:space="preserve">FECHA 35: </t>
    </r>
    <r>
      <rPr>
        <sz val="11"/>
        <color theme="1"/>
        <rFont val="Calibri"/>
        <family val="2"/>
        <scheme val="minor"/>
      </rPr>
      <t>0-2 vs GRAL. LAMADRID (V)</t>
    </r>
  </si>
  <si>
    <r>
      <t xml:space="preserve">FECHA 36: </t>
    </r>
    <r>
      <rPr>
        <sz val="11"/>
        <color theme="1"/>
        <rFont val="Calibri"/>
        <family val="2"/>
        <scheme val="minor"/>
      </rPr>
      <t>1-2 vs DOCK SUD (L)</t>
    </r>
  </si>
  <si>
    <r>
      <t xml:space="preserve">FECHA 38: </t>
    </r>
    <r>
      <rPr>
        <sz val="11"/>
        <color theme="1"/>
        <rFont val="Calibri"/>
        <family val="2"/>
        <scheme val="minor"/>
      </rPr>
      <t>0-2 vs DEP. ARMENIO (L)</t>
    </r>
  </si>
  <si>
    <t>2018/2019</t>
  </si>
  <si>
    <t>F30</t>
  </si>
  <si>
    <t>2.1</t>
  </si>
  <si>
    <t>4-1</t>
  </si>
  <si>
    <t>VILLA SAN CARLOS</t>
  </si>
  <si>
    <t>5-0</t>
  </si>
  <si>
    <t>ARG.. DE QUILMES</t>
  </si>
  <si>
    <t>DEP. ARMENIO</t>
  </si>
  <si>
    <t>Cristian Suárez</t>
  </si>
  <si>
    <t>Matías Coselli</t>
  </si>
  <si>
    <t>Gabriel Toloza y Nahuel Gómez</t>
  </si>
  <si>
    <t>Diego Molinelli</t>
  </si>
  <si>
    <t>Cristian Medina</t>
  </si>
  <si>
    <t>CONVIRTIÓ COSELLI</t>
  </si>
  <si>
    <t>Matías Coselli (x2)</t>
  </si>
  <si>
    <t>Medina (x3) y Gómez</t>
  </si>
  <si>
    <t>Kévin Alegre</t>
  </si>
  <si>
    <t>Luciano Venturni</t>
  </si>
  <si>
    <t>Juan Ledo</t>
  </si>
  <si>
    <t>Luciano Venturini</t>
  </si>
  <si>
    <t>Tadeo Mac Intyre y Luciano Venturini</t>
  </si>
  <si>
    <t>Sebastián De Luca y Cristian Medina</t>
  </si>
  <si>
    <t>Cristian Medina y Claudio Saieva</t>
  </si>
  <si>
    <t>Juan Pafundi</t>
  </si>
  <si>
    <t>Juan Brunetti y Pablo Villarreal</t>
  </si>
  <si>
    <t>Juan Brunetti</t>
  </si>
  <si>
    <t>Sebastián Martínez</t>
  </si>
  <si>
    <t>Nicolás Blanco</t>
  </si>
  <si>
    <t>Jonathan Smith</t>
  </si>
  <si>
    <t>CONVIRTIÓ MEDINA</t>
  </si>
  <si>
    <t>Cristian Benítez</t>
  </si>
  <si>
    <t>Nahuel Gómez</t>
  </si>
  <si>
    <t>Miller Moreno</t>
  </si>
  <si>
    <t>Smith, Acosta y Brunetti</t>
  </si>
  <si>
    <t>Jorge Broggi</t>
  </si>
  <si>
    <t>Nahuel Gómez y Matías Coselli</t>
  </si>
  <si>
    <t>ERRÓ COSELLI</t>
  </si>
  <si>
    <t>Matías Coselli (x3)</t>
  </si>
  <si>
    <t>Matías López</t>
  </si>
  <si>
    <t>Juan Brunetti y Miller Moreno</t>
  </si>
  <si>
    <t>COSELLI, Matías</t>
  </si>
  <si>
    <t>GÓMEZ, Nahuel</t>
  </si>
  <si>
    <t>MEDINA, Cristian</t>
  </si>
  <si>
    <t>VENTURINI, Luciano</t>
  </si>
  <si>
    <t>MAC INTYRE, Tadeo</t>
  </si>
  <si>
    <t>MORENO, Miller</t>
  </si>
  <si>
    <t>BRUNETTI, Juan</t>
  </si>
  <si>
    <t>VILLARREAL, Pablo</t>
  </si>
  <si>
    <t>COSELLI</t>
  </si>
  <si>
    <t>VENTURINI</t>
  </si>
  <si>
    <t>MAC INTYRE</t>
  </si>
  <si>
    <t>Tadeo</t>
  </si>
  <si>
    <t>Ismael</t>
  </si>
  <si>
    <t>MEDINA</t>
  </si>
  <si>
    <t>BRUNETTI</t>
  </si>
  <si>
    <t>VILLARREAL</t>
  </si>
  <si>
    <t>José jIgnacio</t>
  </si>
  <si>
    <t>LÓPEZ</t>
  </si>
  <si>
    <t>´90</t>
  </si>
  <si>
    <t>SMITH</t>
  </si>
  <si>
    <t>LARA</t>
  </si>
  <si>
    <t>SHAFFER</t>
  </si>
  <si>
    <t>José Alberto</t>
  </si>
  <si>
    <r>
      <t xml:space="preserve">FECHA 9: </t>
    </r>
    <r>
      <rPr>
        <sz val="11"/>
        <color theme="1"/>
        <rFont val="Calibri"/>
        <family val="2"/>
        <scheme val="minor"/>
      </rPr>
      <t>0-0 vs BERAZATEGUI (V)</t>
    </r>
  </si>
  <si>
    <t>RADUSSO</t>
  </si>
  <si>
    <t>Nicolás Blas</t>
  </si>
  <si>
    <t>GALLARDO</t>
  </si>
  <si>
    <t>Sebastián De Luca y Gabriel Toloza</t>
  </si>
  <si>
    <r>
      <t xml:space="preserve">FECHA 11: </t>
    </r>
    <r>
      <rPr>
        <sz val="11"/>
        <color theme="1"/>
        <rFont val="Calibri"/>
        <family val="2"/>
        <scheme val="minor"/>
      </rPr>
      <t>4-1 vs ITUZAINGÓ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</si>
  <si>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27: </t>
    </r>
    <r>
      <rPr>
        <sz val="11"/>
        <color theme="1"/>
        <rFont val="Calibri"/>
        <family val="2"/>
        <scheme val="minor"/>
      </rPr>
      <t>0-3 vs VILLA SAN CARLOS (V)</t>
    </r>
  </si>
  <si>
    <r>
      <t xml:space="preserve">FECHA 28: </t>
    </r>
    <r>
      <rPr>
        <sz val="11"/>
        <color theme="1"/>
        <rFont val="Calibri"/>
        <family val="2"/>
        <scheme val="minor"/>
      </rPr>
      <t>1-1 vs BERAZATEGUI (L)</t>
    </r>
  </si>
  <si>
    <r>
      <t xml:space="preserve">FECHA 29: </t>
    </r>
    <r>
      <rPr>
        <sz val="11"/>
        <color theme="1"/>
        <rFont val="Calibri"/>
        <family val="2"/>
        <scheme val="minor"/>
      </rPr>
      <t>2-3 vs  CTRAL. CÓRDOBA (V)</t>
    </r>
  </si>
  <si>
    <t>Braian Nahuel</t>
  </si>
  <si>
    <t>Álan Sebastián</t>
  </si>
  <si>
    <t>Brian Damián</t>
  </si>
  <si>
    <t>Luciano Andrés</t>
  </si>
  <si>
    <t>Nicolás Daniel</t>
  </si>
  <si>
    <t>SAN MARTÍN B</t>
  </si>
  <si>
    <t>Fernando Martín</t>
  </si>
  <si>
    <t>Jonatan Nahuel</t>
  </si>
  <si>
    <t>Milton David</t>
  </si>
  <si>
    <t>COLELA CASTRO</t>
  </si>
  <si>
    <t>Franco Daniel</t>
  </si>
  <si>
    <t>Ramón Esteban</t>
  </si>
  <si>
    <t>Kevin Daniel</t>
  </si>
  <si>
    <t>Nahuel Lisandro</t>
  </si>
  <si>
    <t>J. J. URQUIZA</t>
  </si>
  <si>
    <t>Cristian Alejandro</t>
  </si>
  <si>
    <t>Isaac Norberto</t>
  </si>
  <si>
    <t>1.1</t>
  </si>
  <si>
    <t>Nahuel Agustín</t>
  </si>
  <si>
    <t>Braian Alejandro</t>
  </si>
  <si>
    <t>Nicolás Francisco</t>
  </si>
  <si>
    <t>Mauro Julián</t>
  </si>
  <si>
    <t>Leonel Nicolás</t>
  </si>
  <si>
    <t>Jonathan José</t>
  </si>
  <si>
    <t>Lucas Adrián</t>
  </si>
  <si>
    <t>Alejandro Daniel</t>
  </si>
  <si>
    <t>Pablo Gabriel</t>
  </si>
  <si>
    <t>MUÑIZ</t>
  </si>
  <si>
    <t>Fabián Alberto</t>
  </si>
  <si>
    <t>Juan Francisco</t>
  </si>
  <si>
    <t>Matías Nicolás</t>
  </si>
  <si>
    <t>Gustavo David</t>
  </si>
  <si>
    <t>Jonathan Maximiliano</t>
  </si>
  <si>
    <t>Leandro Ariel</t>
  </si>
  <si>
    <t>ARG. DE QUILMES</t>
  </si>
  <si>
    <t>Joel Ian</t>
  </si>
  <si>
    <t>Nicolás Ezequiel</t>
  </si>
  <si>
    <t>MORENO MURILLO</t>
  </si>
  <si>
    <t>Miller Andrés</t>
  </si>
  <si>
    <t>HURACÁN</t>
  </si>
  <si>
    <t>Sergio Daniel</t>
  </si>
  <si>
    <t>ARG. DE MERLO</t>
  </si>
  <si>
    <t>ARRUBARRENA, Damián</t>
  </si>
  <si>
    <t>ARRUBARRENA</t>
  </si>
  <si>
    <t>´Damián Arrubarrena y Matías Coselli</t>
  </si>
  <si>
    <t>Gómez (x2), Casragna, Arrubarrena y Coselli</t>
  </si>
  <si>
    <t>Damián Arrubarrena</t>
  </si>
  <si>
    <t>Damián Arrubarrena y Miller Moreno</t>
  </si>
  <si>
    <t>Damián Arrubarrena y Damián Pérez Roa</t>
  </si>
  <si>
    <t>CONVIRTIÓ BLANCO</t>
  </si>
  <si>
    <t>A FAVOR</t>
  </si>
  <si>
    <t>DESCRIPCIÓN</t>
  </si>
  <si>
    <t>CONVIRTIÓ ARRUBARRENA</t>
  </si>
  <si>
    <t>ERRADOS</t>
  </si>
  <si>
    <t>ARQUEROS</t>
  </si>
  <si>
    <t>ATAJÓ</t>
  </si>
  <si>
    <t>Eladio Ramos</t>
  </si>
  <si>
    <t>Castagna, Bravo, De Ríos, Ávalos</t>
  </si>
  <si>
    <t>Fleita, Acosta y Águila</t>
  </si>
  <si>
    <t>Águila, Pedreira y Acosta</t>
  </si>
  <si>
    <t>Milton Castagna</t>
  </si>
  <si>
    <t>Romay, Bravo, Águila</t>
  </si>
  <si>
    <t>Nahuel Bravo y Germán Águila</t>
  </si>
  <si>
    <t>Eladio Ramos y Mauro Romay</t>
  </si>
  <si>
    <t>Romay, Correa E/C, Ramos y Castagna</t>
  </si>
  <si>
    <t>ERRÓ ÁGUILA</t>
  </si>
  <si>
    <t>Ormeño Yacante y Bravo</t>
  </si>
  <si>
    <t>Germán Águila x2 y Nahuel Ormeño Yacante</t>
  </si>
  <si>
    <t>Fernando Cruz</t>
  </si>
  <si>
    <t>Alejandro Ávalos y Mauro Romay</t>
  </si>
  <si>
    <t>Fernando Barrios y Sergio Salomone</t>
  </si>
  <si>
    <t>Lucas Urán y Sergio Salomone</t>
  </si>
  <si>
    <t>Iván Castelu Coca</t>
  </si>
  <si>
    <t>Federico</t>
  </si>
  <si>
    <t>31/05/2025</t>
  </si>
  <si>
    <t>DENIS</t>
  </si>
  <si>
    <t>Jeremías</t>
  </si>
  <si>
    <t>Matías Blanco y Matías González</t>
  </si>
  <si>
    <t>Jeremías Denis</t>
  </si>
  <si>
    <t>Ulises López</t>
  </si>
  <si>
    <t>ESQUIVEL</t>
  </si>
  <si>
    <t>Dylan Monzón y Matías Gómez</t>
  </si>
  <si>
    <t>Matías Ansede</t>
  </si>
  <si>
    <t>Joaquín Grane Morrone</t>
  </si>
  <si>
    <t>Gonzalo Correa</t>
  </si>
  <si>
    <t>Matías Billordo y Mateo Tarrio</t>
  </si>
  <si>
    <t>Ventura-Rodríguez</t>
  </si>
  <si>
    <t>Iñaki Iparraguirre</t>
  </si>
  <si>
    <t>DENIS, Jeremías</t>
  </si>
  <si>
    <t>VILLAGRA, Nicolás</t>
  </si>
  <si>
    <t>Jeremías Denus</t>
  </si>
  <si>
    <t>Mariano Lodico</t>
  </si>
  <si>
    <t>RICHARDS</t>
  </si>
  <si>
    <t>MARIANO LODICO</t>
  </si>
  <si>
    <t xml:space="preserve">*LA DUPLA LUIS VENTURA - FERNANDO RODRÍGUEZ DIRIGIÓ CENTRO ESPAÑOL 4 - VICTORIANO ARENAS 2 </t>
  </si>
  <si>
    <t>Ezequiel Aguirre</t>
  </si>
  <si>
    <t>AGUIRRE, Ezequiel</t>
  </si>
  <si>
    <r>
      <t xml:space="preserve">FECHA 11: </t>
    </r>
    <r>
      <rPr>
        <sz val="11"/>
        <color theme="1"/>
        <rFont val="Calibri"/>
        <family val="2"/>
        <scheme val="minor"/>
      </rPr>
      <t>1-0 vs JUV. UNIDA (V)</t>
    </r>
  </si>
  <si>
    <r>
      <t xml:space="preserve">FECHA 12: </t>
    </r>
    <r>
      <rPr>
        <sz val="11"/>
        <color theme="1"/>
        <rFont val="Calibri"/>
        <family val="2"/>
        <scheme val="minor"/>
      </rPr>
      <t xml:space="preserve"> 0-2 vs YUPANQUI (L)</t>
    </r>
  </si>
  <si>
    <r>
      <t xml:space="preserve">FECHA 13: </t>
    </r>
    <r>
      <rPr>
        <sz val="11"/>
        <color theme="1"/>
        <rFont val="Calibri"/>
        <family val="2"/>
        <scheme val="minor"/>
      </rPr>
      <t>0-2 vs CAMIONEROS (V)</t>
    </r>
  </si>
  <si>
    <r>
      <t xml:space="preserve">FECHA 19: </t>
    </r>
    <r>
      <rPr>
        <sz val="11"/>
        <color theme="1"/>
        <rFont val="Calibri"/>
        <family val="2"/>
        <scheme val="minor"/>
      </rPr>
      <t>2-2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CTRAL. BALLESTER (V)</t>
    </r>
  </si>
  <si>
    <r>
      <t xml:space="preserve">FECHA 18: </t>
    </r>
    <r>
      <rPr>
        <sz val="11"/>
        <color theme="1"/>
        <rFont val="Calibri"/>
        <family val="2"/>
        <scheme val="minor"/>
      </rPr>
      <t>0-0 vs DEP. PARAGUAYO (V)</t>
    </r>
  </si>
  <si>
    <r>
      <t xml:space="preserve">FECHA 17: </t>
    </r>
    <r>
      <rPr>
        <sz val="11"/>
        <color theme="1"/>
        <rFont val="Calibri"/>
        <family val="2"/>
        <scheme val="minor"/>
      </rPr>
      <t>0-0 vs CAÑUELAS (L)</t>
    </r>
  </si>
  <si>
    <r>
      <t xml:space="preserve">FECHA 14: </t>
    </r>
    <r>
      <rPr>
        <sz val="11"/>
        <color theme="1"/>
        <rFont val="Calibri"/>
        <family val="2"/>
        <scheme val="minor"/>
      </rPr>
      <t>0-1 vs ARG ROSARIO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</si>
  <si>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15: </t>
    </r>
    <r>
      <rPr>
        <sz val="11"/>
        <color theme="1"/>
        <rFont val="Calibri"/>
        <family val="2"/>
        <scheme val="minor"/>
      </rPr>
      <t>0-3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</si>
  <si>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16: </t>
    </r>
    <r>
      <rPr>
        <sz val="11"/>
        <color theme="1"/>
        <rFont val="Calibri"/>
        <family val="2"/>
        <scheme val="minor"/>
      </rPr>
      <t>2-3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</si>
  <si>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r>
      <t xml:space="preserve">FECHA 20: </t>
    </r>
    <r>
      <rPr>
        <sz val="11"/>
        <color theme="1"/>
        <rFont val="Calibri"/>
        <family val="2"/>
        <scheme val="minor"/>
      </rPr>
      <t>1-0 vs SP. BARRACAS (L)</t>
    </r>
  </si>
  <si>
    <r>
      <t xml:space="preserve">FECHA 21: </t>
    </r>
    <r>
      <rPr>
        <sz val="11"/>
        <color theme="1"/>
        <rFont val="Calibri"/>
        <family val="2"/>
        <scheme val="minor"/>
      </rPr>
      <t>1-2 vs ESTRELLA DEL SUR (V)</t>
    </r>
  </si>
  <si>
    <r>
      <t xml:space="preserve">FECHA 22: </t>
    </r>
    <r>
      <rPr>
        <sz val="11"/>
        <color theme="1"/>
        <rFont val="Calibri"/>
        <family val="2"/>
        <scheme val="minor"/>
      </rPr>
      <t xml:space="preserve"> 0.4 vs GRAL. LAMADRID (L)</t>
    </r>
  </si>
  <si>
    <r>
      <t xml:space="preserve">FECHA 23: </t>
    </r>
    <r>
      <rPr>
        <sz val="11"/>
        <color theme="1"/>
        <rFont val="Calibri"/>
        <family val="2"/>
        <scheme val="minor"/>
      </rPr>
      <t>2-4 vs CTRO ESPAÑOL (V)</t>
    </r>
  </si>
  <si>
    <r>
      <t xml:space="preserve">FECHA 26: </t>
    </r>
    <r>
      <rPr>
        <sz val="11"/>
        <color theme="1"/>
        <rFont val="Calibri"/>
        <family val="2"/>
        <scheme val="minor"/>
      </rPr>
      <t>1-1 vs CAMIONEROS (L)</t>
    </r>
  </si>
  <si>
    <r>
      <t xml:space="preserve">FECHA 25: </t>
    </r>
    <r>
      <rPr>
        <sz val="11"/>
        <color theme="1"/>
        <rFont val="Calibri"/>
        <family val="2"/>
        <scheme val="minor"/>
      </rPr>
      <t>0-2 vs YUPANQUI (V)</t>
    </r>
  </si>
  <si>
    <r>
      <t xml:space="preserve">FECHA 24: </t>
    </r>
    <r>
      <rPr>
        <sz val="11"/>
        <color theme="1"/>
        <rFont val="Calibri"/>
        <family val="2"/>
        <scheme val="minor"/>
      </rPr>
      <t>1.1 vs JUV. UNIDA (L)</t>
    </r>
  </si>
  <si>
    <t>REDUCIDO C.A. 2025</t>
  </si>
  <si>
    <t>REDUCIDO C.A  2025</t>
  </si>
  <si>
    <r>
      <t xml:space="preserve">REDUCIDO C.A.: </t>
    </r>
    <r>
      <rPr>
        <sz val="11"/>
        <color theme="1"/>
        <rFont val="Calibri"/>
        <family val="2"/>
        <scheme val="minor"/>
      </rPr>
      <t>1-3 vs CTRO ESPAÑOL (V)</t>
    </r>
  </si>
  <si>
    <r>
      <t xml:space="preserve">REDUCIDO C.A.: </t>
    </r>
    <r>
      <rPr>
        <sz val="11"/>
        <color theme="1"/>
        <rFont val="Calibri"/>
        <family val="2"/>
        <scheme val="minor"/>
      </rPr>
      <t>0-1 vs CTRO ESPAÑOL (l)</t>
    </r>
  </si>
  <si>
    <t>RED</t>
  </si>
  <si>
    <t>DESVIADO</t>
  </si>
  <si>
    <t>ID_Jugador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</si>
  <si>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</si>
  <si>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</si>
  <si>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</si>
  <si>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</si>
  <si>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</si>
  <si>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</si>
  <si>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</si>
  <si>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</si>
  <si>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</si>
  <si>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</si>
  <si>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</si>
  <si>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</si>
  <si>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</si>
  <si>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</si>
  <si>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</si>
  <si>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</si>
  <si>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</si>
  <si>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</si>
  <si>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</si>
  <si>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</si>
  <si>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</si>
  <si>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</si>
  <si>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</si>
  <si>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</si>
  <si>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</si>
  <si>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</si>
  <si>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</si>
  <si>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</si>
  <si>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</si>
  <si>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</si>
  <si>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</si>
  <si>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</si>
  <si>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</si>
  <si>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</si>
  <si>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</si>
  <si>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</si>
  <si>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</si>
  <si>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</si>
  <si>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</si>
  <si>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</si>
  <si>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</si>
  <si>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</si>
  <si>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</si>
  <si>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</si>
  <si>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</si>
  <si>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</si>
  <si>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</si>
  <si>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</si>
  <si>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</si>
  <si>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</si>
  <si>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</si>
  <si>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</si>
  <si>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</si>
  <si>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</si>
  <si>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</si>
  <si>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</si>
  <si>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</si>
  <si>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</si>
  <si>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</si>
  <si>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</si>
  <si>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</si>
  <si>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</si>
  <si>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</si>
  <si>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</si>
  <si>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</si>
  <si>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</si>
  <si>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</si>
  <si>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</si>
  <si>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</si>
  <si>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</si>
  <si>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</si>
  <si>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</si>
  <si>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</si>
  <si>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</si>
  <si>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</si>
  <si>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</si>
  <si>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</si>
  <si>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</si>
  <si>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</si>
  <si>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</si>
  <si>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</si>
  <si>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</si>
  <si>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</si>
  <si>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</si>
  <si>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</si>
  <si>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</si>
  <si>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</si>
  <si>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</si>
  <si>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</si>
  <si>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</si>
  <si>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</si>
  <si>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</si>
  <si>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</si>
  <si>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</si>
  <si>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</si>
  <si>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</si>
  <si>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</si>
  <si>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</si>
  <si>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</si>
  <si>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</si>
  <si>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</si>
  <si>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</si>
  <si>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</si>
  <si>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</si>
  <si>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</si>
  <si>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</si>
  <si>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</si>
  <si>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</si>
  <si>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</si>
  <si>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</si>
  <si>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</si>
  <si>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</si>
  <si>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</si>
  <si>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</si>
  <si>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</si>
  <si>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</si>
  <si>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</si>
  <si>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</si>
  <si>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</si>
  <si>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</si>
  <si>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</si>
  <si>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</si>
  <si>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</si>
  <si>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</si>
  <si>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</si>
  <si>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</si>
  <si>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</si>
  <si>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</si>
  <si>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</si>
  <si>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</si>
  <si>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</si>
  <si>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</si>
  <si>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</si>
  <si>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</si>
  <si>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</si>
  <si>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</si>
  <si>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</si>
  <si>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</si>
  <si>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</si>
  <si>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</si>
  <si>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</si>
  <si>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</si>
  <si>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</si>
  <si>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</si>
  <si>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</si>
  <si>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</si>
  <si>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</si>
  <si>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</si>
  <si>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</si>
  <si>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</si>
  <si>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</si>
  <si>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</si>
  <si>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</si>
  <si>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fecha debut</t>
  </si>
  <si>
    <t>RIVAL debut</t>
  </si>
  <si>
    <t>RESULTADO debut</t>
  </si>
  <si>
    <t>comentarios guido franck</t>
  </si>
  <si>
    <t>2 PENALES EN CONTRA (SP. BARRACAS Y CTRO. ESPAÑOL). ATAJO A SP. BARRACAS. ERRÓ CTRO. ESPAÑOL</t>
  </si>
  <si>
    <t>4 PENALES EN CONTRA (BERAZATEGUI, EL PORVENIR, LAMADRID Y VILLA SAN CARLOS)</t>
  </si>
  <si>
    <t>1 PENAL EN CONTRA (GRAL. LAMADRID)</t>
  </si>
  <si>
    <t>1 PENAL EN CONTRA (REAL PILAR)</t>
  </si>
  <si>
    <t>7 PENALES EN CONTRA (ATLAS (x2), BALLESTER, BERAZATEGUI, CLAYPOLE (x2)) Y LUGANO) ATAJÓ 2 PENALES (BERAZATEGUI Y CLAYPOLE).</t>
  </si>
  <si>
    <t>1 GOL A SP. ITALIANO. 79 PENALES EN CONTRA ( CENTRAL CORDOBA, CLAYPOLE, EXCURSIONISTAS (x2), PUERTO NUEVO, SAN MARTÍN B, SP. ITALIANO (x2) Y REAL PILAR) ATAJÓ 4 PENAÑES (CENTRAL CÓRDOBA, PUERTO NUEVO Y SP. ITALIANO (x2)).</t>
  </si>
  <si>
    <t>3 PENALES EN CONTRA (CAMIONEROS, ESTRELLA DEL SUR Y YUPANQUI) - ATAJÓ A ESTRELLA DEL SUR</t>
  </si>
  <si>
    <t>2 PENALES EN CONTRA (DOCK SUD Y CENTRAL CÓRDOBA)</t>
  </si>
  <si>
    <t>17 PENALES EN CONTRA (BERAZATEGUI (x2), CENTRAL CÓRDOBA, DEP. ESPAÑOL (x2, EXCURSIONISTAS, ITUZAINGÓ (x3), MIDLAND, LAFERRERE (x2), LUJÁN (x2), MIDLAND (x2) Y SP. ITALIANO). ATAJÓ 3 PENALES (DEP. ESPAÑOL, LAFERRERE Y LUJÁN). ERRÓ PENAL (ITUZAINGÓ).</t>
  </si>
  <si>
    <t>1 GOL DE PENAL (LEANDRO N. ALEM</t>
  </si>
  <si>
    <t>1 GOL DE TIRO LIBRE (PUERTO NUEVO</t>
  </si>
  <si>
    <t>1 GOL DE PENAL (ITUZAINÓ)</t>
  </si>
  <si>
    <t>1 DE TIRO LIBRE (JUVENTUD UNIDA)</t>
  </si>
  <si>
    <t>1 GOL DE PENAL (MIDLAND)</t>
  </si>
  <si>
    <t>4 GOLES DE PENAL (BERAZATEGUI (x2), CAÑUELAS Y DOCK SUD). 1 PENAL ERRADO (ATLAS)</t>
  </si>
  <si>
    <t>1 GOL DE PENAL (JUV. UNIDA)</t>
  </si>
  <si>
    <t>2 GOLES DE PENAL (EXCURSIONISTAS Y LAFERRERE). ERRÓ 1 PENAL (MIDLAND)</t>
  </si>
  <si>
    <t>1 GOL DE PENAL A LAMADRID</t>
  </si>
  <si>
    <t>1 GOL DE PENAL (PUERTO NUEVO). 
ERRÓ PENAL CONTRA ARG. DE MERLO</t>
  </si>
  <si>
    <t>1 GOL DE PENAL (MUÑIZ)</t>
  </si>
  <si>
    <t>nota</t>
  </si>
  <si>
    <t>id_posicion</t>
  </si>
  <si>
    <t>posición</t>
  </si>
  <si>
    <t>p1</t>
  </si>
  <si>
    <t>arquero</t>
  </si>
  <si>
    <t>p2</t>
  </si>
  <si>
    <t>defensor</t>
  </si>
  <si>
    <t>p3</t>
  </si>
  <si>
    <t>mediocampista</t>
  </si>
  <si>
    <t>p4</t>
  </si>
  <si>
    <t>delanterio</t>
  </si>
  <si>
    <t>p5</t>
  </si>
  <si>
    <t>volante</t>
  </si>
  <si>
    <t>fecha</t>
  </si>
  <si>
    <t>visitante/local</t>
  </si>
  <si>
    <t>local/visitante</t>
  </si>
  <si>
    <t>nro_fecha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</si>
</sst>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color theme="1"/>
      <name val="Segoe UI"/>
      <family val="2"/>
    </font>
    <font>
      <b/>
      <sz val="16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thin">
        <color indexed="64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5" xfId="0" applyBorder="1"/>
    <xf numFmtId="0" fontId="1" fillId="0" borderId="14" xfId="0" applyFont="1" applyBorder="1" applyAlignment="1">
      <alignment horizontal="center"/>
    </xf>
    <xf numFmtId="0" fontId="0" fillId="0" borderId="23" xfId="0" applyBorder="1"/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44" xfId="0" quotePrefix="1" applyBorder="1" applyAlignment="1">
      <alignment horizontal="center"/>
    </xf>
    <xf numFmtId="0" fontId="0" fillId="0" borderId="36" xfId="0" quotePrefix="1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40" xfId="0" quotePrefix="1" applyBorder="1" applyAlignment="1">
      <alignment horizontal="center"/>
    </xf>
    <xf numFmtId="0" fontId="0" fillId="0" borderId="42" xfId="0" quotePrefix="1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" fillId="0" borderId="50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9" fontId="5" fillId="5" borderId="2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49" fontId="5" fillId="3" borderId="23" xfId="0" applyNumberFormat="1" applyFont="1" applyFill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4" borderId="24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49" fontId="5" fillId="4" borderId="24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49" fontId="5" fillId="3" borderId="26" xfId="0" applyNumberFormat="1" applyFont="1" applyFill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6" xfId="0" quotePrefix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0" fillId="2" borderId="67" xfId="0" applyFill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47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horizontal="center"/>
    </xf>
    <xf numFmtId="0" fontId="0" fillId="0" borderId="49" xfId="0" quotePrefix="1" applyBorder="1" applyAlignment="1">
      <alignment horizontal="center"/>
    </xf>
    <xf numFmtId="49" fontId="5" fillId="5" borderId="24" xfId="0" applyNumberFormat="1" applyFon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49" fontId="0" fillId="4" borderId="23" xfId="0" applyNumberFormat="1" applyFill="1" applyBorder="1" applyAlignment="1">
      <alignment horizontal="center" vertical="center"/>
    </xf>
    <xf numFmtId="49" fontId="0" fillId="5" borderId="23" xfId="0" applyNumberFormat="1" applyFill="1" applyBorder="1" applyAlignment="1">
      <alignment horizontal="center" vertical="center"/>
    </xf>
    <xf numFmtId="49" fontId="0" fillId="4" borderId="24" xfId="0" applyNumberFormat="1" applyFill="1" applyBorder="1" applyAlignment="1">
      <alignment horizontal="center" vertical="center"/>
    </xf>
    <xf numFmtId="49" fontId="0" fillId="5" borderId="23" xfId="0" applyNumberFormat="1" applyFill="1" applyBorder="1" applyAlignment="1">
      <alignment horizontal="center"/>
    </xf>
    <xf numFmtId="49" fontId="0" fillId="3" borderId="23" xfId="0" applyNumberFormat="1" applyFill="1" applyBorder="1" applyAlignment="1">
      <alignment horizontal="center"/>
    </xf>
    <xf numFmtId="49" fontId="0" fillId="4" borderId="23" xfId="0" applyNumberFormat="1" applyFill="1" applyBorder="1" applyAlignment="1">
      <alignment horizontal="center"/>
    </xf>
    <xf numFmtId="49" fontId="0" fillId="3" borderId="27" xfId="0" applyNumberFormat="1" applyFill="1" applyBorder="1" applyAlignment="1">
      <alignment horizontal="center"/>
    </xf>
    <xf numFmtId="49" fontId="0" fillId="5" borderId="24" xfId="0" applyNumberFormat="1" applyFill="1" applyBorder="1" applyAlignment="1">
      <alignment horizontal="center"/>
    </xf>
    <xf numFmtId="49" fontId="0" fillId="3" borderId="26" xfId="0" applyNumberFormat="1" applyFill="1" applyBorder="1" applyAlignment="1">
      <alignment horizontal="center"/>
    </xf>
    <xf numFmtId="49" fontId="0" fillId="4" borderId="27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3" xfId="0" applyBorder="1" applyAlignment="1">
      <alignment horizontal="center" vertical="center"/>
    </xf>
    <xf numFmtId="49" fontId="0" fillId="5" borderId="24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0" fillId="0" borderId="41" xfId="0" applyNumberFormat="1" applyBorder="1" applyAlignment="1">
      <alignment horizontal="center" vertical="center"/>
    </xf>
    <xf numFmtId="0" fontId="5" fillId="0" borderId="23" xfId="0" quotePrefix="1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/>
    </xf>
    <xf numFmtId="0" fontId="0" fillId="2" borderId="44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38" xfId="0" quotePrefix="1" applyBorder="1" applyAlignment="1">
      <alignment horizontal="center"/>
    </xf>
    <xf numFmtId="0" fontId="0" fillId="0" borderId="43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9" fontId="0" fillId="3" borderId="39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4" xfId="0" applyFill="1" applyBorder="1" applyAlignment="1">
      <alignment vertical="center"/>
    </xf>
    <xf numFmtId="0" fontId="0" fillId="0" borderId="44" xfId="0" applyBorder="1" applyAlignment="1">
      <alignment vertical="center"/>
    </xf>
    <xf numFmtId="164" fontId="0" fillId="0" borderId="40" xfId="0" applyNumberFormat="1" applyBorder="1" applyAlignment="1">
      <alignment horizontal="center" vertical="center"/>
    </xf>
    <xf numFmtId="0" fontId="0" fillId="3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1" fontId="0" fillId="0" borderId="36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1" fontId="0" fillId="0" borderId="30" xfId="0" applyNumberFormat="1" applyBorder="1" applyAlignment="1">
      <alignment horizontal="center" vertical="center"/>
    </xf>
    <xf numFmtId="0" fontId="0" fillId="0" borderId="67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164" fontId="0" fillId="0" borderId="84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3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/>
    </xf>
    <xf numFmtId="164" fontId="0" fillId="0" borderId="88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164" fontId="0" fillId="0" borderId="7" xfId="0" quotePrefix="1" applyNumberForma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49" fontId="0" fillId="0" borderId="10" xfId="0" quotePrefix="1" applyNumberFormat="1" applyBorder="1" applyAlignment="1">
      <alignment horizontal="center" vertical="center" wrapText="1"/>
    </xf>
    <xf numFmtId="164" fontId="5" fillId="0" borderId="7" xfId="0" quotePrefix="1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7" xfId="0" quotePrefix="1" applyBorder="1" applyAlignment="1">
      <alignment horizontal="center"/>
    </xf>
    <xf numFmtId="0" fontId="0" fillId="0" borderId="25" xfId="0" applyBorder="1" applyAlignment="1">
      <alignment horizontal="left" vertical="center"/>
    </xf>
    <xf numFmtId="49" fontId="0" fillId="5" borderId="25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49" fontId="0" fillId="5" borderId="26" xfId="0" applyNumberFormat="1" applyFill="1" applyBorder="1" applyAlignment="1">
      <alignment horizontal="center" vertical="center"/>
    </xf>
    <xf numFmtId="49" fontId="0" fillId="3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49" fontId="0" fillId="4" borderId="26" xfId="0" applyNumberForma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49" fontId="0" fillId="5" borderId="27" xfId="0" applyNumberForma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38" xfId="0" quotePrefix="1" applyBorder="1" applyAlignment="1">
      <alignment horizontal="center" vertical="center" wrapText="1"/>
    </xf>
    <xf numFmtId="0" fontId="0" fillId="0" borderId="87" xfId="0" quotePrefix="1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26" xfId="0" applyFill="1" applyBorder="1"/>
    <xf numFmtId="0" fontId="0" fillId="2" borderId="46" xfId="0" applyFill="1" applyBorder="1"/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0" fillId="2" borderId="87" xfId="0" applyFill="1" applyBorder="1"/>
    <xf numFmtId="0" fontId="0" fillId="2" borderId="39" xfId="0" applyFill="1" applyBorder="1" applyAlignment="1">
      <alignment vertical="center"/>
    </xf>
    <xf numFmtId="0" fontId="0" fillId="2" borderId="8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2" borderId="27" xfId="0" applyFill="1" applyBorder="1"/>
    <xf numFmtId="0" fontId="0" fillId="0" borderId="87" xfId="0" applyBorder="1" applyAlignment="1">
      <alignment horizontal="center"/>
    </xf>
    <xf numFmtId="0" fontId="0" fillId="0" borderId="43" xfId="0" applyBorder="1" applyAlignment="1">
      <alignment horizontal="center"/>
    </xf>
    <xf numFmtId="164" fontId="0" fillId="0" borderId="41" xfId="0" quotePrefix="1" applyNumberFormat="1" applyBorder="1" applyAlignment="1">
      <alignment horizontal="center" vertical="center" wrapText="1"/>
    </xf>
    <xf numFmtId="49" fontId="0" fillId="0" borderId="13" xfId="0" quotePrefix="1" applyNumberFormat="1" applyBorder="1" applyAlignment="1">
      <alignment horizontal="center" vertical="center" wrapText="1"/>
    </xf>
    <xf numFmtId="49" fontId="0" fillId="4" borderId="27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3" borderId="23" xfId="0" applyFill="1" applyBorder="1" applyAlignment="1">
      <alignment horizontal="center"/>
    </xf>
    <xf numFmtId="0" fontId="0" fillId="0" borderId="88" xfId="0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3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0" xfId="0" quotePrefix="1" applyBorder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3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68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0" fillId="0" borderId="74" xfId="0" applyBorder="1" applyAlignment="1">
      <alignment vertical="center"/>
    </xf>
    <xf numFmtId="1" fontId="0" fillId="0" borderId="1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49" xfId="0" quotePrefix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3" borderId="65" xfId="0" applyFill="1" applyBorder="1" applyAlignment="1">
      <alignment vertical="center"/>
    </xf>
    <xf numFmtId="0" fontId="1" fillId="0" borderId="0" xfId="0" applyFont="1"/>
    <xf numFmtId="49" fontId="0" fillId="3" borderId="24" xfId="0" applyNumberFormat="1" applyFill="1" applyBorder="1" applyAlignment="1">
      <alignment horizontal="center"/>
    </xf>
    <xf numFmtId="0" fontId="0" fillId="0" borderId="93" xfId="0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3" borderId="95" xfId="0" applyFill="1" applyBorder="1" applyAlignment="1">
      <alignment horizontal="center" vertical="center"/>
    </xf>
    <xf numFmtId="49" fontId="0" fillId="4" borderId="20" xfId="0" applyNumberFormat="1" applyFill="1" applyBorder="1" applyAlignment="1">
      <alignment horizontal="center"/>
    </xf>
    <xf numFmtId="0" fontId="0" fillId="2" borderId="1" xfId="0" applyFill="1" applyBorder="1"/>
    <xf numFmtId="0" fontId="0" fillId="3" borderId="75" xfId="0" applyFill="1" applyBorder="1" applyAlignment="1">
      <alignment horizontal="center" vertical="center"/>
    </xf>
    <xf numFmtId="0" fontId="2" fillId="2" borderId="89" xfId="0" applyFont="1" applyFill="1" applyBorder="1" applyAlignment="1">
      <alignment vertical="center"/>
    </xf>
    <xf numFmtId="0" fontId="1" fillId="9" borderId="25" xfId="0" applyFont="1" applyFill="1" applyBorder="1" applyAlignment="1">
      <alignment horizontal="center" vertical="center" wrapText="1"/>
    </xf>
    <xf numFmtId="0" fontId="8" fillId="10" borderId="44" xfId="1" applyNumberFormat="1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0" borderId="0" xfId="0" applyFont="1"/>
    <xf numFmtId="0" fontId="2" fillId="2" borderId="89" xfId="0" applyFont="1" applyFill="1" applyBorder="1" applyAlignment="1">
      <alignment vertical="center" wrapText="1"/>
    </xf>
    <xf numFmtId="0" fontId="2" fillId="2" borderId="90" xfId="0" applyFont="1" applyFill="1" applyBorder="1" applyAlignment="1">
      <alignment vertical="center" wrapText="1"/>
    </xf>
    <xf numFmtId="0" fontId="2" fillId="2" borderId="91" xfId="0" applyFont="1" applyFill="1" applyBorder="1" applyAlignment="1">
      <alignment vertical="center" wrapText="1"/>
    </xf>
    <xf numFmtId="0" fontId="9" fillId="2" borderId="90" xfId="0" applyFont="1" applyFill="1" applyBorder="1" applyAlignment="1">
      <alignment vertical="center"/>
    </xf>
    <xf numFmtId="0" fontId="8" fillId="0" borderId="44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8" fillId="0" borderId="36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0" fillId="0" borderId="0" xfId="0" applyFont="1"/>
    <xf numFmtId="0" fontId="8" fillId="0" borderId="17" xfId="0" applyFont="1" applyBorder="1" applyAlignment="1">
      <alignment horizontal="center" vertical="center" wrapText="1"/>
    </xf>
    <xf numFmtId="1" fontId="8" fillId="0" borderId="30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8" xfId="0" applyBorder="1" applyAlignment="1">
      <alignment horizont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1" fillId="0" borderId="92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2" borderId="8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0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/>
  </cellXfs>
  <cellStyles count="2">
    <cellStyle name="Millares" xfId="1" builtinId="3"/>
    <cellStyle name="Normal" xfId="0" builtinId="0"/>
  </cellStyles>
  <dxfs count="7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do Franck" id="{F50D5C65-1071-48E6-80DF-58E5005FC6DC}" userId="9a7bf286c15591f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2A510-AAE4-446D-A570-6CEED8D6A8B1}" name="Tabla1" displayName="Tabla1" ref="C3:D9" totalsRowShown="0" headerRowDxfId="6" dataDxfId="4" headerRowBorderDxfId="5" tableBorderDxfId="3" totalsRowBorderDxfId="2">
  <autoFilter ref="C3:D9" xr:uid="{9B92A510-AAE4-446D-A570-6CEED8D6A8B1}"/>
  <tableColumns count="2">
    <tableColumn id="1" xr3:uid="{174BF0BD-6493-41A2-8256-08D2F6CEDC50}" name="id_posicion" dataDxfId="1"/>
    <tableColumn id="2" xr3:uid="{051E4ABE-F54E-4C29-A818-96D685C1A050}" name="posi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04-24T00:30:09.04" personId="{F50D5C65-1071-48E6-80DF-58E5005FC6DC}" id="{E4528F47-8621-44B8-9F62-9C431F81D54A}">
    <text>2 PENALES EN CONTRA (SP. BARRACAS Y CTRO. ESPAÑOL). ATAJO A SP. BARRACAS. ERRÓ CTRO. ESPAÑOL</text>
  </threadedComment>
  <threadedComment ref="E5" dT="2025-05-16T02:11:13.34" personId="{F50D5C65-1071-48E6-80DF-58E5005FC6DC}" id="{DC2E1339-07B8-47CE-A9A9-CA5ABAA5BF67}">
    <text>4 PENALES EN CONTRA (BERAZATEGUI, EL PORVENIR, LAMADRID Y VILLA SAN CARLOS)</text>
  </threadedComment>
  <threadedComment ref="E7" dT="2024-07-08T20:17:31.43" personId="{F50D5C65-1071-48E6-80DF-58E5005FC6DC}" id="{09CCACFF-5317-48F9-8525-E5E5CA40DC7C}">
    <text>1 PENAL EN CONTRA (GRAL. LAMADRID)</text>
  </threadedComment>
  <threadedComment ref="E8" dT="2025-04-24T17:34:27.84" personId="{F50D5C65-1071-48E6-80DF-58E5005FC6DC}" id="{75078587-2C6E-40E4-8633-3DA9451B9960}">
    <text>1 PENAL EN CONTRA (REAL PILAR)</text>
  </threadedComment>
  <threadedComment ref="E9" dT="2024-02-27T23:41:01.75" personId="{F50D5C65-1071-48E6-80DF-58E5005FC6DC}" id="{566F05C3-E6FC-4AB7-9479-D81948CF6E41}">
    <text>7 PENALES EN CONTRA (ATLAS (x2), BALLESTER, BERAZATEGUI, CLAYPOLE (x2)) Y LUGANO) ATAJÓ 2 PENALES (BERAZATEGUI Y CLAYPOLE).</text>
  </threadedComment>
  <threadedComment ref="E13" dT="2025-04-25T22:26:12.67" personId="{F50D5C65-1071-48E6-80DF-58E5005FC6DC}" id="{07F4C6E4-31AB-4E3B-AD5F-8D6970CABC81}">
    <text>1 GOL A SP. ITALIANO. 79 PENALES EN CONTRA ( CENTRAL CORDOBA, CLAYPOLE, EXCURSIONISTAS (x2), PUERTO NUEVO, SAN MARTÍN B, SP. ITALIANO (x2) Y REAL PILAR)  ATAJÓ 4 PENAÑES (CENTRAL CÓRDOBA, PUERTO NUEVO Y SP. ITALIANO (x2)).</text>
  </threadedComment>
  <threadedComment ref="E14" dT="2025-04-27T16:04:04.25" personId="{F50D5C65-1071-48E6-80DF-58E5005FC6DC}" id="{700304C4-DB61-4456-9F8C-DECFDB146A45}">
    <text>3 PENALES EN CONTRA (CAMIONEROS, ESTRELLA DEL SUR Y YUPANQUI) - ATAJÓ A ESTRELLA DEL SUR</text>
  </threadedComment>
  <threadedComment ref="E16" dT="2025-05-01T21:04:07.86" personId="{F50D5C65-1071-48E6-80DF-58E5005FC6DC}" id="{2C62BFF7-A5A5-4A03-AC64-5F56A53314FD}">
    <text>2 PENALES EN CONTRA (DOCK SUD Y CENTRAL CÓRDOBA)</text>
  </threadedComment>
  <threadedComment ref="E17" dT="2025-05-04T22:11:51.49" personId="{F50D5C65-1071-48E6-80DF-58E5005FC6DC}" id="{384F157A-D466-47F8-BC29-5FBE21997EE8}">
    <text>17 PENALES EN CONTRA (BERAZATEGUI (x2), CENTRAL CÓRDOBA, DEP. ESPAÑOL (x2, EXCURSIONISTAS, ITUZAINGÓ (x3), MIDLAND, LAFERRERE (x2), LUJÁN (x2), MIDLAND (x2) Y SP. ITALIANO). ATAJÓ 3 PENALES (DEP. ESPAÑOL, LAFERRERE Y LUJÁN). ERRÓ PENAL (ITUZAINGÓ).</text>
  </threadedComment>
  <threadedComment ref="E66" dT="2025-05-24T22:58:54.34" personId="{F50D5C65-1071-48E6-80DF-58E5005FC6DC}" id="{80D10AD4-638F-4B1C-8256-A960D4FCEC26}">
    <text>1 GOL DE PENAL (LEANDRO N. ALEM)</text>
  </threadedComment>
  <threadedComment ref="E70" dT="2024-07-11T14:53:02.35" personId="{F50D5C65-1071-48E6-80DF-58E5005FC6DC}" id="{7A09EEE1-A979-4F36-B89D-F0F3FDF6F197}">
    <text>1 GOL DE TIRO LIBRE (PUERTO NUEVO)</text>
  </threadedComment>
  <threadedComment ref="E93" dT="2025-05-17T17:06:54.90" personId="{F50D5C65-1071-48E6-80DF-58E5005FC6DC}" id="{A6E98BD9-C47D-4563-A2A4-7A75F9AB79D9}">
    <text>1 GOL DE PENAL (ITUZAINÓ)</text>
  </threadedComment>
  <threadedComment ref="E98" dT="2024-02-19T22:04:15.96" personId="{F50D5C65-1071-48E6-80DF-58E5005FC6DC}" id="{92B707E0-49FA-4686-B813-A6E4DF15DB81}">
    <text>1 DE TIRO LIBRE (JUVENTUD UNIDA)</text>
  </threadedComment>
  <threadedComment ref="E107" dT="2025-05-12T17:45:19.78" personId="{F50D5C65-1071-48E6-80DF-58E5005FC6DC}" id="{D5DCF8AE-86D2-429F-ABE5-93FC5FD3AB42}">
    <text>1 GOL DE PENAL (MIDLAND)</text>
  </threadedComment>
  <threadedComment ref="E119" dT="2025-05-04T18:50:54.70" personId="{F50D5C65-1071-48E6-80DF-58E5005FC6DC}" id="{0FE0B0A3-6BEE-49ED-B638-E29B813D5737}">
    <text>4 GOLES DE PENAL (BERAZATEGUI (x2), CAÑUELAS Y DOCK SUD). 1 PENAL ERRADO (ATLAS)</text>
  </threadedComment>
  <threadedComment ref="E121" dT="2025-05-20T22:57:23.97" personId="{F50D5C65-1071-48E6-80DF-58E5005FC6DC}" id="{9C49A456-EC12-4546-8EA9-EE0AC6AFA461}">
    <text>1 GOL DE PENAL (JUV. UNIDA)</text>
  </threadedComment>
  <threadedComment ref="E127" dT="2025-05-15T19:32:30.36" personId="{F50D5C65-1071-48E6-80DF-58E5005FC6DC}" id="{0A2301D7-BAF1-4542-9AD0-C909A884E5AB}">
    <text>2 GOLES DE PENAL (EXCURSIONISTAS Y LAFERRERE). ERRÓ 1 PENAL (MIDLAND)</text>
  </threadedComment>
  <threadedComment ref="E136" dT="2025-04-28T01:44:09.41" personId="{F50D5C65-1071-48E6-80DF-58E5005FC6DC}" id="{6F0D3DCC-4A60-46A9-9405-88CC05C083EB}">
    <text>1 GOL DE PENAL A LAMADRID</text>
  </threadedComment>
  <threadedComment ref="E147" dT="2025-04-28T00:18:30.99" personId="{F50D5C65-1071-48E6-80DF-58E5005FC6DC}" id="{8314639F-572A-4FA9-8DAB-74CF521D19DF}">
    <text>1 GOL DE PENAL (PUERTO NUEVO). 
ERRÓ PENAL CONTRA ARG. DE MERLO</text>
  </threadedComment>
  <threadedComment ref="E155" dT="2024-07-08T20:29:40.51" personId="{F50D5C65-1071-48E6-80DF-58E5005FC6DC}" id="{EEDDCD76-C7BE-47F9-99C3-0BCE762647A2}">
    <text>1 GOL DE PENAL (MUÑIZ)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5-04-24T00:30:09.04" personId="{F50D5C65-1071-48E6-80DF-58E5005FC6DC}" id="{F5B0251E-D497-4BD4-A281-B5DB6816B637}">
    <text>2 PENALES EN CONTRA (SP. BARRACAS Y CTRO. ESPAÑOL). ATAJO A SP. BARRACAS. ERRÓ CTRO. ESPAÑOL</text>
  </threadedComment>
  <threadedComment ref="D5" dT="2025-04-27T16:04:04.25" personId="{F50D5C65-1071-48E6-80DF-58E5005FC6DC}" id="{D15DF432-4495-483A-9CFF-DB229B461458}">
    <text>3 PENALES EN CONTRA (CAMIONEROS, ESTRELLA DEL SUR Y YUPANQUI) - ATAJÓ A ESTRELLA DEL SUR</text>
  </threadedComment>
  <threadedComment ref="D28" dT="2025-05-20T22:26:32.78" personId="{F50D5C65-1071-48E6-80DF-58E5005FC6DC}" id="{C62CA786-2127-4FBB-A85D-B1F4B9ED5F07}">
    <text>1 GOL DE PENAL (JUV. UNIDA)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5" dT="2024-07-08T20:17:31.43" personId="{F50D5C65-1071-48E6-80DF-58E5005FC6DC}" id="{3CD8B5D5-64C0-47A0-A75C-46B3702E101F}">
    <text>1 PENAL EN CONTRA (GRAL. LAMADRID)</text>
  </threadedComment>
  <threadedComment ref="D7" dT="2024-02-27T23:41:01.75" personId="{F50D5C65-1071-48E6-80DF-58E5005FC6DC}" id="{4CDAD8B8-8AEE-4A2A-B526-30504D86719E}">
    <text>4 PENALES EN CONTRA (LUGANO, CLAYPOLE, BALLESTER Y BERAZATEGUI). ATAJÓ A BERAZATEGUI</text>
  </threadedComment>
  <threadedComment ref="E7" dT="2025-05-08T14:53:42.17" personId="{F50D5C65-1071-48E6-80DF-58E5005FC6DC}" id="{9666C6D3-0195-4453-90ED-BC24D3B89193}">
    <text>3 PENALES EN CONTRA (ATLAS (x2) Y CLAYPOLE) . ATAJO A CLAYPOLE</text>
  </threadedComment>
  <threadedComment ref="E16" dT="2024-07-11T14:53:02.35" personId="{F50D5C65-1071-48E6-80DF-58E5005FC6DC}" id="{7A09EEE1-A979-4F35-B89D-F0F3FDF6F197}">
    <text>1 GOL DE TIRO LIBRE (PUERTO NUEVO)</text>
  </threadedComment>
  <threadedComment ref="D25" dT="2024-02-19T22:04:15.96" personId="{F50D5C65-1071-48E6-80DF-58E5005FC6DC}" id="{92B707E0-49FA-4685-B813-A6E4DF15DB81}">
    <text>1 DE TIRO LIBRE (JUVENTUD UNIDA)</text>
  </threadedComment>
  <threadedComment ref="D40" dT="2024-07-08T20:29:40.51" personId="{F50D5C65-1071-48E6-80DF-58E5005FC6DC}" id="{2C2DBD90-562E-48DE-853B-D52FFB9CA613}">
    <text>1 GOL DE PENAL (MUÑIZ)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5-04-24T17:34:27.84" personId="{F50D5C65-1071-48E6-80DF-58E5005FC6DC}" id="{09207519-BB7A-4493-98CF-C3D3C8E14A4A}">
    <text>1 PENAL EN CONTRA (REAL PILAR)</text>
  </threadedComment>
  <threadedComment ref="D6" dT="2025-04-14T18:15:48.30" personId="{F50D5C65-1071-48E6-80DF-58E5005FC6DC}" id="{72EF4846-B2D3-462A-B961-6AFF39C84034}">
    <text>1 GOL A SP. ITALIANO / 2 PENALES EN CONTRA (SP. ITALIANO Y SAN MARTÍN B) - ATAJÓ A SP. ITALIANO</text>
  </threadedComment>
  <threadedComment ref="D39" dT="2025-04-14T19:45:50.98" personId="{F50D5C65-1071-48E6-80DF-58E5005FC6DC}" id="{FA123C0D-6866-4E8E-BA43-6DACCF80E207}">
    <text>1 GOL DE PENAL (PUERTO NUEVO)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5-04-25T22:26:12.67" personId="{F50D5C65-1071-48E6-80DF-58E5005FC6DC}" id="{3FCC710D-8E85-4483-90C3-EB400F0DE806}">
    <text>3 PENALES EN CONTRA (EXCURSIONISTAS, PUERTO NUEVO Y REAL PILAR)  ATAJÓ A PUERTO NUEVO</text>
  </threadedComment>
  <threadedComment ref="E4" dT="2025-04-24T18:18:42.73" personId="{F50D5C65-1071-48E6-80DF-58E5005FC6DC}" id="{964814DE-45A1-4BFB-BCEA-8FF50C100AD6}">
    <text>4 PENALES EN CONTRA (SP. ITALIANO, CTRAL. CORDOBA, EXCURSIONISTAS Y CLAYPOLE) - ATAJÓ PENAL A SP. ITALIANO Y CTRAL. CÓRDOBA</text>
  </threadedComment>
  <threadedComment ref="E34" dT="2025-04-28T01:44:09.41" personId="{F50D5C65-1071-48E6-80DF-58E5005FC6DC}" id="{C97BC4B3-3230-4927-84C4-37F81572F96D}">
    <text>1 GOL DE PENAL A LAMADRID</text>
  </threadedComment>
  <threadedComment ref="E37" dT="2025-04-28T00:18:30.99" personId="{F50D5C65-1071-48E6-80DF-58E5005FC6DC}" id="{09D79441-46E0-40F2-BE49-4DEDC601BCB5}">
    <text>ERRÓ PENAL CONTRA ARG. DE MERLO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6" dT="2025-05-01T21:04:07.86" personId="{F50D5C65-1071-48E6-80DF-58E5005FC6DC}" id="{D72B4C0E-B28F-4B2E-BCF9-DBA437613855}">
    <text>2 PENALES EN CONTRA (DOCK SUD Y CENTRAL CÓRDOBA)</text>
  </threadedComment>
  <threadedComment ref="D7" dT="2025-05-04T22:11:51.49" personId="{F50D5C65-1071-48E6-80DF-58E5005FC6DC}" id="{4D49177E-0F7D-4C65-8E44-9E9608DABFCB}">
    <text>2 PENALES EN CONTRA (BERAZATEGUI E ITUZAINGÓ)</text>
  </threadedComment>
  <threadedComment ref="E7" dT="2025-05-04T16:39:52.94" personId="{F50D5C65-1071-48E6-80DF-58E5005FC6DC}" id="{87C6E168-165C-4081-BBE1-6F8C02DD9B39}">
    <text>4 PENALES EN CONTRA (MIDLAND LUJÁN, DEP. ESPAÑOL Y CENTRAL CÓRDOBA)</text>
  </threadedComment>
  <threadedComment ref="D33" dT="2025-05-04T18:50:54.70" personId="{F50D5C65-1071-48E6-80DF-58E5005FC6DC}" id="{42078E27-5599-4CEB-9CAE-146ADEEF00CC}">
    <text>2 GOLES DE PENAL (BERAZATEGUI Y DOCK SUD)</text>
  </threadedComment>
  <threadedComment ref="E33" dT="2025-05-08T16:50:14.10" personId="{F50D5C65-1071-48E6-80DF-58E5005FC6DC}" id="{5A447EDA-3CC1-4D63-83C5-D77E9AFA2EA0}">
    <text>1 GOL DE PENAL A BERAZATEGUI. 1 PENAL ERRADO A ATLAS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5" dT="2025-05-10T01:51:58.19" personId="{F50D5C65-1071-48E6-80DF-58E5005FC6DC}" id="{7EA16904-6896-4BDF-95B6-6F98065777D4}">
    <text>1 PENAL EN CONTRA (ITUZAINGÓ)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7" dT="2025-05-12T17:46:53.62" personId="{F50D5C65-1071-48E6-80DF-58E5005FC6DC}" id="{35655080-0DD3-406B-8109-9DE0616563F0}">
    <text>2 PENALES EN CONTRA (BERAZATEGUI Y LUJÁN). ATAJÓ 1 PENAL (LUJÁN)</text>
  </threadedComment>
  <threadedComment ref="E7" dT="2025-05-10T01:51:58.19" personId="{F50D5C65-1071-48E6-80DF-58E5005FC6DC}" id="{5F402D45-5C83-4B78-89C2-66E7416E4606}">
    <text>2 PENALES EN CONTRA (ITUZAINGÓ Y DEP. ESPAÑOL). ERRÓ PENAL (ITUZAINGÓ). ATAJÓ PENAL (DEP. ESPAÑOL)</text>
  </threadedComment>
  <threadedComment ref="D18" dT="2025-05-24T22:58:15.57" personId="{F50D5C65-1071-48E6-80DF-58E5005FC6DC}" id="{A51322C5-9B88-4518-9503-0BF381E5AB7E}">
    <text>1 GOL DE PENAL (LEANDRO N. ALEM)</text>
  </threadedComment>
  <threadedComment ref="D27" dT="2025-05-12T17:45:19.78" personId="{F50D5C65-1071-48E6-80DF-58E5005FC6DC}" id="{D5DCF8AE-86D2-429E-ABE5-93FC5FD3AB42}">
    <text>1 GOL DE PENAL (MIDLAND)</text>
  </threadedComment>
  <threadedComment ref="E31" dT="2025-05-10T23:39:10.22" personId="{F50D5C65-1071-48E6-80DF-58E5005FC6DC}" id="{B93593A4-2E2A-47DC-95A9-ED439D54D568}">
    <text>1 GOL DE PENAL (CAÑUELAS)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3" dT="2025-05-16T02:11:13.34" personId="{F50D5C65-1071-48E6-80DF-58E5005FC6DC}" id="{25F4F322-D127-4C9E-88C6-FFDB9584A251}">
    <text>4 PENALES EN CONTRA (BERAZATEGUI, EL PORVENIR, LAMADRID Y VILLA SAN CARLOS)</text>
  </threadedComment>
  <threadedComment ref="D5" dT="2025-05-15T19:33:22.23" personId="{F50D5C65-1071-48E6-80DF-58E5005FC6DC}" id="{8B31A19E-299B-43D1-B243-1F978AABD487}">
    <text>6 PENALES EN CONTRA (EXCUESIONISTAS, LAFERRERE (x2), MIDLAND (x2) Y SP. ITALIANO). ATAJÓ 1 PENAL (LAFERRERE)</text>
  </threadedComment>
  <threadedComment ref="D22" dT="2025-05-17T17:06:54.90" personId="{F50D5C65-1071-48E6-80DF-58E5005FC6DC}" id="{C794F29A-CFFB-4A09-91D3-0E4BA44F5475}">
    <text>1 GOL DE PENAL (ITUZAINÓ)</text>
  </threadedComment>
  <threadedComment ref="D30" dT="2025-05-15T19:32:30.36" personId="{F50D5C65-1071-48E6-80DF-58E5005FC6DC}" id="{616A645B-B4F3-4649-9632-0FD4FAF0612F}">
    <text>2 GOLES DE PENAL (EXCURSIONISTAS Y LAFERRERE). ERRÓ 1 PENAL (MIDLAND)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5"/>
  <sheetViews>
    <sheetView zoomScale="90" zoomScaleNormal="90" workbookViewId="0">
      <pane ySplit="2" topLeftCell="A3" activePane="bottomLeft" state="frozen"/>
      <selection pane="bottomLeft" activeCell="C172" sqref="C172"/>
    </sheetView>
  </sheetViews>
  <sheetFormatPr baseColWidth="10" defaultRowHeight="15" x14ac:dyDescent="0.25"/>
  <cols>
    <col min="1" max="1" width="20" style="75" customWidth="1"/>
    <col min="2" max="2" width="9.85546875" customWidth="1"/>
    <col min="3" max="3" width="23.5703125" style="75" customWidth="1"/>
    <col min="4" max="4" width="13.5703125" style="75" customWidth="1"/>
    <col min="5" max="5" width="10.7109375" style="14" customWidth="1"/>
    <col min="6" max="6" width="37.28515625" style="14" customWidth="1"/>
    <col min="7" max="7" width="13.85546875" style="14" customWidth="1"/>
    <col min="8" max="9" width="11.42578125" style="14"/>
    <col min="10" max="10" width="16.28515625" style="1" customWidth="1"/>
    <col min="11" max="11" width="12.28515625" style="14" customWidth="1"/>
    <col min="12" max="12" width="17.28515625" style="1" customWidth="1"/>
    <col min="13" max="13" width="34.7109375" style="14" customWidth="1"/>
    <col min="14" max="14" width="18.28515625" style="14" bestFit="1" customWidth="1"/>
    <col min="15" max="15" width="21.7109375" style="14" customWidth="1"/>
  </cols>
  <sheetData>
    <row r="1" spans="1:15" ht="45.75" customHeight="1" thickBot="1" x14ac:dyDescent="0.3">
      <c r="A1" s="360" t="s">
        <v>36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2"/>
    </row>
    <row r="2" spans="1:15" ht="38.25" customHeight="1" thickBot="1" x14ac:dyDescent="0.3">
      <c r="A2" s="170" t="s">
        <v>221</v>
      </c>
      <c r="B2" s="171" t="s">
        <v>1230</v>
      </c>
      <c r="C2" s="170" t="s">
        <v>51</v>
      </c>
      <c r="D2" s="170" t="s">
        <v>52</v>
      </c>
      <c r="E2" s="172" t="s">
        <v>1229</v>
      </c>
      <c r="F2" s="170" t="s">
        <v>27</v>
      </c>
      <c r="G2" s="173" t="s">
        <v>222</v>
      </c>
      <c r="H2" s="173" t="s">
        <v>223</v>
      </c>
      <c r="I2" s="173" t="s">
        <v>224</v>
      </c>
      <c r="J2" s="173" t="s">
        <v>572</v>
      </c>
      <c r="K2" s="173" t="s">
        <v>225</v>
      </c>
      <c r="L2" s="173" t="s">
        <v>571</v>
      </c>
      <c r="M2" s="170" t="s">
        <v>33</v>
      </c>
      <c r="N2" s="170" t="s">
        <v>244</v>
      </c>
      <c r="O2" s="170" t="s">
        <v>247</v>
      </c>
    </row>
    <row r="3" spans="1:15" ht="30" customHeight="1" x14ac:dyDescent="0.25">
      <c r="A3" s="76" t="s">
        <v>845</v>
      </c>
      <c r="B3" s="76" t="s">
        <v>91</v>
      </c>
      <c r="C3" s="79" t="s">
        <v>77</v>
      </c>
      <c r="D3" s="78" t="s">
        <v>56</v>
      </c>
      <c r="E3" s="76" t="s">
        <v>55</v>
      </c>
      <c r="F3" s="94" t="s">
        <v>961</v>
      </c>
      <c r="G3" s="95">
        <v>0</v>
      </c>
      <c r="H3" s="95">
        <v>0</v>
      </c>
      <c r="I3" s="95">
        <v>1</v>
      </c>
      <c r="J3" s="94" t="s">
        <v>858</v>
      </c>
      <c r="K3" s="95">
        <v>1</v>
      </c>
      <c r="L3" s="94" t="s">
        <v>743</v>
      </c>
      <c r="M3" s="94" t="s">
        <v>568</v>
      </c>
      <c r="N3" s="76" t="s">
        <v>722</v>
      </c>
      <c r="O3" s="76" t="s">
        <v>879</v>
      </c>
    </row>
    <row r="4" spans="1:15" ht="30" customHeight="1" x14ac:dyDescent="0.25">
      <c r="A4" s="76" t="s">
        <v>845</v>
      </c>
      <c r="B4" s="76" t="s">
        <v>92</v>
      </c>
      <c r="C4" s="79" t="s">
        <v>79</v>
      </c>
      <c r="D4" s="78" t="s">
        <v>64</v>
      </c>
      <c r="E4" s="76" t="s">
        <v>54</v>
      </c>
      <c r="F4" s="94" t="s">
        <v>880</v>
      </c>
      <c r="G4" s="95">
        <v>0</v>
      </c>
      <c r="H4" s="95">
        <v>0</v>
      </c>
      <c r="I4" s="95">
        <v>0</v>
      </c>
      <c r="J4" s="94" t="s">
        <v>568</v>
      </c>
      <c r="K4" s="95">
        <v>0</v>
      </c>
      <c r="L4" s="94" t="s">
        <v>568</v>
      </c>
      <c r="M4" s="94" t="s">
        <v>568</v>
      </c>
      <c r="N4" s="76" t="s">
        <v>722</v>
      </c>
      <c r="O4" s="76" t="s">
        <v>422</v>
      </c>
    </row>
    <row r="5" spans="1:15" ht="30" customHeight="1" x14ac:dyDescent="0.25">
      <c r="A5" s="76" t="s">
        <v>845</v>
      </c>
      <c r="B5" s="76" t="s">
        <v>93</v>
      </c>
      <c r="C5" s="79" t="s">
        <v>73</v>
      </c>
      <c r="D5" s="78" t="s">
        <v>623</v>
      </c>
      <c r="E5" s="76" t="s">
        <v>55</v>
      </c>
      <c r="F5" s="94" t="s">
        <v>882</v>
      </c>
      <c r="G5" s="95">
        <v>0</v>
      </c>
      <c r="H5" s="95">
        <v>0</v>
      </c>
      <c r="I5" s="95">
        <v>1</v>
      </c>
      <c r="J5" s="94" t="s">
        <v>881</v>
      </c>
      <c r="K5" s="95">
        <v>1</v>
      </c>
      <c r="L5" s="94" t="s">
        <v>577</v>
      </c>
      <c r="M5" s="94" t="s">
        <v>568</v>
      </c>
      <c r="N5" s="76" t="s">
        <v>722</v>
      </c>
      <c r="O5" s="76" t="s">
        <v>697</v>
      </c>
    </row>
    <row r="6" spans="1:15" ht="30" customHeight="1" x14ac:dyDescent="0.25">
      <c r="A6" s="76" t="s">
        <v>845</v>
      </c>
      <c r="B6" s="76" t="s">
        <v>94</v>
      </c>
      <c r="C6" s="79" t="s">
        <v>191</v>
      </c>
      <c r="D6" s="80" t="s">
        <v>66</v>
      </c>
      <c r="E6" s="76" t="s">
        <v>54</v>
      </c>
      <c r="F6" s="94" t="s">
        <v>854</v>
      </c>
      <c r="G6" s="95">
        <v>0</v>
      </c>
      <c r="H6" s="95">
        <v>0</v>
      </c>
      <c r="I6" s="95">
        <v>0</v>
      </c>
      <c r="J6" s="94" t="s">
        <v>568</v>
      </c>
      <c r="K6" s="95">
        <v>0</v>
      </c>
      <c r="L6" s="94" t="s">
        <v>568</v>
      </c>
      <c r="M6" s="94" t="s">
        <v>568</v>
      </c>
      <c r="N6" s="76" t="s">
        <v>722</v>
      </c>
      <c r="O6" s="76" t="s">
        <v>853</v>
      </c>
    </row>
    <row r="7" spans="1:15" ht="30" hidden="1" customHeight="1" x14ac:dyDescent="0.25">
      <c r="A7" s="76" t="s">
        <v>845</v>
      </c>
      <c r="B7" s="76" t="s">
        <v>95</v>
      </c>
      <c r="C7" s="79" t="s">
        <v>70</v>
      </c>
      <c r="D7" s="81" t="s">
        <v>65</v>
      </c>
      <c r="E7" s="76" t="s">
        <v>55</v>
      </c>
      <c r="F7" s="94" t="s">
        <v>855</v>
      </c>
      <c r="G7" s="95">
        <v>0</v>
      </c>
      <c r="H7" s="95">
        <v>0</v>
      </c>
      <c r="I7" s="95">
        <v>0</v>
      </c>
      <c r="J7" s="94" t="s">
        <v>568</v>
      </c>
      <c r="K7" s="95">
        <v>1</v>
      </c>
      <c r="L7" s="94" t="s">
        <v>577</v>
      </c>
      <c r="M7" s="94" t="s">
        <v>568</v>
      </c>
      <c r="N7" s="76" t="s">
        <v>722</v>
      </c>
      <c r="O7" s="76" t="s">
        <v>260</v>
      </c>
    </row>
    <row r="8" spans="1:15" ht="30" hidden="1" customHeight="1" x14ac:dyDescent="0.25">
      <c r="A8" s="76" t="s">
        <v>845</v>
      </c>
      <c r="B8" s="76" t="s">
        <v>96</v>
      </c>
      <c r="C8" s="79" t="s">
        <v>76</v>
      </c>
      <c r="D8" s="81" t="s">
        <v>63</v>
      </c>
      <c r="E8" s="76" t="s">
        <v>54</v>
      </c>
      <c r="F8" s="94" t="s">
        <v>568</v>
      </c>
      <c r="G8" s="95">
        <v>0</v>
      </c>
      <c r="H8" s="95">
        <v>0</v>
      </c>
      <c r="I8" s="95">
        <v>0</v>
      </c>
      <c r="J8" s="94" t="s">
        <v>568</v>
      </c>
      <c r="K8" s="95">
        <v>0</v>
      </c>
      <c r="L8" s="94" t="s">
        <v>568</v>
      </c>
      <c r="M8" s="94" t="s">
        <v>568</v>
      </c>
      <c r="N8" s="76" t="s">
        <v>722</v>
      </c>
      <c r="O8" s="76" t="s">
        <v>871</v>
      </c>
    </row>
    <row r="9" spans="1:15" ht="30" customHeight="1" x14ac:dyDescent="0.25">
      <c r="A9" s="76" t="s">
        <v>845</v>
      </c>
      <c r="B9" s="76" t="s">
        <v>100</v>
      </c>
      <c r="C9" s="79" t="s">
        <v>78</v>
      </c>
      <c r="D9" s="80" t="s">
        <v>86</v>
      </c>
      <c r="E9" s="76" t="s">
        <v>55</v>
      </c>
      <c r="F9" s="94" t="s">
        <v>859</v>
      </c>
      <c r="G9" s="95">
        <v>1</v>
      </c>
      <c r="H9" s="95">
        <v>1</v>
      </c>
      <c r="I9" s="95">
        <v>1</v>
      </c>
      <c r="J9" s="94" t="s">
        <v>858</v>
      </c>
      <c r="K9" s="95">
        <v>1</v>
      </c>
      <c r="L9" s="94" t="s">
        <v>577</v>
      </c>
      <c r="M9" s="94" t="s">
        <v>857</v>
      </c>
      <c r="N9" s="76" t="s">
        <v>722</v>
      </c>
      <c r="O9" s="76" t="s">
        <v>856</v>
      </c>
    </row>
    <row r="10" spans="1:15" ht="30" customHeight="1" x14ac:dyDescent="0.25">
      <c r="A10" s="76" t="s">
        <v>845</v>
      </c>
      <c r="B10" s="76" t="s">
        <v>97</v>
      </c>
      <c r="C10" s="79" t="s">
        <v>849</v>
      </c>
      <c r="D10" s="78" t="s">
        <v>850</v>
      </c>
      <c r="E10" s="76" t="s">
        <v>55</v>
      </c>
      <c r="F10" s="94" t="s">
        <v>962</v>
      </c>
      <c r="G10" s="95">
        <v>0</v>
      </c>
      <c r="H10" s="95">
        <v>0</v>
      </c>
      <c r="I10" s="95">
        <v>0</v>
      </c>
      <c r="J10" s="94" t="s">
        <v>568</v>
      </c>
      <c r="K10" s="95">
        <v>0</v>
      </c>
      <c r="L10" s="94" t="s">
        <v>568</v>
      </c>
      <c r="M10" s="94" t="s">
        <v>568</v>
      </c>
      <c r="N10" s="76" t="s">
        <v>722</v>
      </c>
      <c r="O10" s="76" t="s">
        <v>697</v>
      </c>
    </row>
    <row r="11" spans="1:15" ht="30" hidden="1" customHeight="1" x14ac:dyDescent="0.25">
      <c r="A11" s="76" t="s">
        <v>845</v>
      </c>
      <c r="B11" s="76" t="s">
        <v>98</v>
      </c>
      <c r="C11" s="79" t="s">
        <v>58</v>
      </c>
      <c r="D11" s="80" t="s">
        <v>53</v>
      </c>
      <c r="E11" s="76" t="s">
        <v>54</v>
      </c>
      <c r="F11" s="94" t="s">
        <v>568</v>
      </c>
      <c r="G11" s="95">
        <v>1</v>
      </c>
      <c r="H11" s="95">
        <v>0</v>
      </c>
      <c r="I11" s="95">
        <v>0</v>
      </c>
      <c r="J11" s="94" t="s">
        <v>568</v>
      </c>
      <c r="K11" s="95">
        <v>0</v>
      </c>
      <c r="L11" s="94" t="s">
        <v>568</v>
      </c>
      <c r="M11" s="94" t="s">
        <v>963</v>
      </c>
      <c r="N11" s="76" t="s">
        <v>722</v>
      </c>
      <c r="O11" s="76" t="s">
        <v>701</v>
      </c>
    </row>
    <row r="12" spans="1:15" ht="30" hidden="1" customHeight="1" x14ac:dyDescent="0.25">
      <c r="A12" s="76" t="s">
        <v>845</v>
      </c>
      <c r="B12" s="76" t="s">
        <v>99</v>
      </c>
      <c r="C12" s="79" t="s">
        <v>82</v>
      </c>
      <c r="D12" s="81" t="s">
        <v>84</v>
      </c>
      <c r="E12" s="76" t="s">
        <v>55</v>
      </c>
      <c r="F12" s="94" t="s">
        <v>568</v>
      </c>
      <c r="G12" s="95">
        <v>0</v>
      </c>
      <c r="H12" s="95">
        <v>0</v>
      </c>
      <c r="I12" s="95">
        <v>0</v>
      </c>
      <c r="J12" s="94" t="s">
        <v>568</v>
      </c>
      <c r="K12" s="95">
        <v>0</v>
      </c>
      <c r="L12" s="94" t="s">
        <v>568</v>
      </c>
      <c r="M12" s="94" t="s">
        <v>568</v>
      </c>
      <c r="N12" s="76" t="s">
        <v>722</v>
      </c>
      <c r="O12" s="76" t="s">
        <v>250</v>
      </c>
    </row>
    <row r="13" spans="1:15" ht="30" hidden="1" customHeight="1" x14ac:dyDescent="0.25">
      <c r="A13" s="76" t="s">
        <v>845</v>
      </c>
      <c r="B13" s="76" t="s">
        <v>134</v>
      </c>
      <c r="C13" s="79" t="s">
        <v>131</v>
      </c>
      <c r="D13" s="78" t="s">
        <v>848</v>
      </c>
      <c r="E13" s="76" t="s">
        <v>54</v>
      </c>
      <c r="F13" s="94" t="s">
        <v>860</v>
      </c>
      <c r="G13" s="95">
        <v>0</v>
      </c>
      <c r="H13" s="95">
        <v>0</v>
      </c>
      <c r="I13" s="95">
        <v>0</v>
      </c>
      <c r="J13" s="94" t="s">
        <v>568</v>
      </c>
      <c r="K13" s="95">
        <v>0</v>
      </c>
      <c r="L13" s="94" t="s">
        <v>568</v>
      </c>
      <c r="M13" s="94" t="s">
        <v>568</v>
      </c>
      <c r="N13" s="76" t="s">
        <v>722</v>
      </c>
      <c r="O13" s="76" t="s">
        <v>740</v>
      </c>
    </row>
    <row r="14" spans="1:15" ht="30" customHeight="1" x14ac:dyDescent="0.25">
      <c r="A14" s="76" t="s">
        <v>845</v>
      </c>
      <c r="B14" s="76" t="s">
        <v>101</v>
      </c>
      <c r="C14" s="79" t="s">
        <v>130</v>
      </c>
      <c r="D14" s="81" t="s">
        <v>65</v>
      </c>
      <c r="E14" s="76" t="s">
        <v>55</v>
      </c>
      <c r="F14" s="94" t="s">
        <v>859</v>
      </c>
      <c r="G14" s="95">
        <v>0</v>
      </c>
      <c r="H14" s="95">
        <v>0</v>
      </c>
      <c r="I14" s="95">
        <v>0</v>
      </c>
      <c r="J14" s="94" t="s">
        <v>568</v>
      </c>
      <c r="K14" s="95">
        <v>0</v>
      </c>
      <c r="L14" s="94" t="s">
        <v>568</v>
      </c>
      <c r="M14" s="94" t="s">
        <v>568</v>
      </c>
      <c r="N14" s="76" t="s">
        <v>722</v>
      </c>
      <c r="O14" s="76" t="s">
        <v>272</v>
      </c>
    </row>
    <row r="15" spans="1:15" ht="30" hidden="1" customHeight="1" x14ac:dyDescent="0.25">
      <c r="A15" s="76" t="s">
        <v>845</v>
      </c>
      <c r="B15" s="76" t="s">
        <v>102</v>
      </c>
      <c r="C15" s="79" t="s">
        <v>768</v>
      </c>
      <c r="D15" s="80" t="s">
        <v>66</v>
      </c>
      <c r="E15" s="76" t="s">
        <v>54</v>
      </c>
      <c r="F15" s="94" t="s">
        <v>862</v>
      </c>
      <c r="G15" s="95">
        <v>0</v>
      </c>
      <c r="H15" s="95">
        <v>0</v>
      </c>
      <c r="I15" s="95">
        <v>0</v>
      </c>
      <c r="J15" s="94" t="s">
        <v>568</v>
      </c>
      <c r="K15" s="95">
        <v>0</v>
      </c>
      <c r="L15" s="94" t="s">
        <v>568</v>
      </c>
      <c r="M15" s="94" t="s">
        <v>568</v>
      </c>
      <c r="N15" s="76" t="s">
        <v>722</v>
      </c>
      <c r="O15" s="76" t="s">
        <v>861</v>
      </c>
    </row>
    <row r="16" spans="1:15" ht="30" customHeight="1" x14ac:dyDescent="0.25">
      <c r="A16" s="76" t="s">
        <v>845</v>
      </c>
      <c r="B16" s="76" t="s">
        <v>103</v>
      </c>
      <c r="C16" s="79" t="s">
        <v>129</v>
      </c>
      <c r="D16" s="78" t="s">
        <v>61</v>
      </c>
      <c r="E16" s="76" t="s">
        <v>55</v>
      </c>
      <c r="F16" s="94" t="s">
        <v>854</v>
      </c>
      <c r="G16" s="95">
        <v>0</v>
      </c>
      <c r="H16" s="95">
        <v>1</v>
      </c>
      <c r="I16" s="95">
        <v>0</v>
      </c>
      <c r="J16" s="94" t="s">
        <v>568</v>
      </c>
      <c r="K16" s="95">
        <v>0</v>
      </c>
      <c r="L16" s="94" t="s">
        <v>568</v>
      </c>
      <c r="M16" s="94" t="s">
        <v>568</v>
      </c>
      <c r="N16" s="76" t="s">
        <v>722</v>
      </c>
      <c r="O16" s="76" t="s">
        <v>863</v>
      </c>
    </row>
    <row r="17" spans="1:15" ht="30" hidden="1" customHeight="1" x14ac:dyDescent="0.25">
      <c r="A17" s="76" t="s">
        <v>845</v>
      </c>
      <c r="B17" s="76" t="s">
        <v>104</v>
      </c>
      <c r="C17" s="79" t="s">
        <v>57</v>
      </c>
      <c r="D17" s="81" t="s">
        <v>65</v>
      </c>
      <c r="E17" s="76" t="s">
        <v>54</v>
      </c>
      <c r="F17" s="94" t="s">
        <v>865</v>
      </c>
      <c r="G17" s="95">
        <v>1</v>
      </c>
      <c r="H17" s="95">
        <v>0</v>
      </c>
      <c r="I17" s="95">
        <v>0</v>
      </c>
      <c r="J17" s="94" t="s">
        <v>568</v>
      </c>
      <c r="K17" s="95">
        <v>0</v>
      </c>
      <c r="L17" s="94" t="s">
        <v>568</v>
      </c>
      <c r="M17" s="94" t="s">
        <v>864</v>
      </c>
      <c r="N17" s="76" t="s">
        <v>722</v>
      </c>
      <c r="O17" s="76" t="s">
        <v>260</v>
      </c>
    </row>
    <row r="18" spans="1:15" ht="30" hidden="1" customHeight="1" x14ac:dyDescent="0.25">
      <c r="A18" s="76" t="s">
        <v>845</v>
      </c>
      <c r="B18" s="76" t="s">
        <v>105</v>
      </c>
      <c r="C18" s="79" t="s">
        <v>80</v>
      </c>
      <c r="D18" s="81" t="s">
        <v>65</v>
      </c>
      <c r="E18" s="76" t="s">
        <v>55</v>
      </c>
      <c r="F18" s="94" t="s">
        <v>866</v>
      </c>
      <c r="G18" s="95">
        <v>0</v>
      </c>
      <c r="H18" s="95">
        <v>0</v>
      </c>
      <c r="I18" s="95">
        <v>0</v>
      </c>
      <c r="J18" s="94" t="s">
        <v>568</v>
      </c>
      <c r="K18" s="95">
        <v>1</v>
      </c>
      <c r="L18" s="94" t="s">
        <v>577</v>
      </c>
      <c r="M18" s="94" t="s">
        <v>568</v>
      </c>
      <c r="N18" s="76" t="s">
        <v>722</v>
      </c>
      <c r="O18" s="76" t="s">
        <v>250</v>
      </c>
    </row>
    <row r="19" spans="1:15" ht="30" hidden="1" customHeight="1" x14ac:dyDescent="0.25">
      <c r="A19" s="76" t="s">
        <v>845</v>
      </c>
      <c r="B19" s="76" t="s">
        <v>106</v>
      </c>
      <c r="C19" s="79" t="s">
        <v>621</v>
      </c>
      <c r="D19" s="78" t="s">
        <v>64</v>
      </c>
      <c r="E19" s="76" t="s">
        <v>54</v>
      </c>
      <c r="F19" s="94" t="s">
        <v>964</v>
      </c>
      <c r="G19" s="95">
        <v>0</v>
      </c>
      <c r="H19" s="95">
        <v>1</v>
      </c>
      <c r="I19" s="95">
        <v>0</v>
      </c>
      <c r="J19" s="94" t="s">
        <v>568</v>
      </c>
      <c r="K19" s="95">
        <v>0</v>
      </c>
      <c r="L19" s="94" t="s">
        <v>568</v>
      </c>
      <c r="M19" s="94" t="s">
        <v>568</v>
      </c>
      <c r="N19" s="76" t="s">
        <v>722</v>
      </c>
      <c r="O19" s="76" t="s">
        <v>853</v>
      </c>
    </row>
    <row r="20" spans="1:15" ht="30" hidden="1" customHeight="1" x14ac:dyDescent="0.25">
      <c r="A20" s="76" t="s">
        <v>845</v>
      </c>
      <c r="B20" s="76" t="s">
        <v>107</v>
      </c>
      <c r="C20" s="79" t="s">
        <v>851</v>
      </c>
      <c r="D20" s="81" t="s">
        <v>84</v>
      </c>
      <c r="E20" s="76" t="s">
        <v>55</v>
      </c>
      <c r="F20" s="94" t="s">
        <v>568</v>
      </c>
      <c r="G20" s="95">
        <v>0</v>
      </c>
      <c r="H20" s="95">
        <v>1</v>
      </c>
      <c r="I20" s="95">
        <v>0</v>
      </c>
      <c r="J20" s="94" t="s">
        <v>568</v>
      </c>
      <c r="K20" s="95">
        <v>0</v>
      </c>
      <c r="L20" s="94" t="s">
        <v>568</v>
      </c>
      <c r="M20" s="94" t="s">
        <v>568</v>
      </c>
      <c r="N20" s="76" t="s">
        <v>722</v>
      </c>
      <c r="O20" s="76" t="s">
        <v>422</v>
      </c>
    </row>
    <row r="21" spans="1:15" ht="30" hidden="1" customHeight="1" x14ac:dyDescent="0.25">
      <c r="A21" s="76" t="s">
        <v>845</v>
      </c>
      <c r="B21" s="76" t="s">
        <v>108</v>
      </c>
      <c r="C21" s="79" t="s">
        <v>852</v>
      </c>
      <c r="D21" s="78" t="s">
        <v>56</v>
      </c>
      <c r="E21" s="76" t="s">
        <v>54</v>
      </c>
      <c r="F21" s="94" t="s">
        <v>867</v>
      </c>
      <c r="G21" s="95">
        <v>1</v>
      </c>
      <c r="H21" s="95">
        <v>0</v>
      </c>
      <c r="I21" s="95">
        <v>0</v>
      </c>
      <c r="J21" s="94" t="s">
        <v>568</v>
      </c>
      <c r="K21" s="95">
        <v>0</v>
      </c>
      <c r="L21" s="94" t="s">
        <v>568</v>
      </c>
      <c r="M21" s="94" t="s">
        <v>793</v>
      </c>
      <c r="N21" s="76" t="s">
        <v>722</v>
      </c>
      <c r="O21" s="76" t="s">
        <v>272</v>
      </c>
    </row>
    <row r="22" spans="1:15" ht="30" hidden="1" customHeight="1" x14ac:dyDescent="0.25">
      <c r="A22" s="76" t="s">
        <v>845</v>
      </c>
      <c r="B22" s="76" t="s">
        <v>109</v>
      </c>
      <c r="C22" s="79" t="s">
        <v>77</v>
      </c>
      <c r="D22" s="80" t="s">
        <v>66</v>
      </c>
      <c r="E22" s="76" t="s">
        <v>54</v>
      </c>
      <c r="F22" s="94" t="s">
        <v>857</v>
      </c>
      <c r="G22" s="95">
        <v>0</v>
      </c>
      <c r="H22" s="95">
        <v>1</v>
      </c>
      <c r="I22" s="95">
        <v>0</v>
      </c>
      <c r="J22" s="94" t="s">
        <v>568</v>
      </c>
      <c r="K22" s="95">
        <v>1</v>
      </c>
      <c r="L22" s="94" t="s">
        <v>1035</v>
      </c>
      <c r="M22" s="94" t="s">
        <v>568</v>
      </c>
      <c r="N22" s="76" t="s">
        <v>722</v>
      </c>
      <c r="O22" s="76" t="s">
        <v>740</v>
      </c>
    </row>
    <row r="23" spans="1:15" ht="30" hidden="1" customHeight="1" x14ac:dyDescent="0.25">
      <c r="A23" s="76" t="s">
        <v>845</v>
      </c>
      <c r="B23" s="76" t="s">
        <v>110</v>
      </c>
      <c r="C23" s="79" t="s">
        <v>79</v>
      </c>
      <c r="D23" s="81" t="s">
        <v>68</v>
      </c>
      <c r="E23" s="76" t="s">
        <v>55</v>
      </c>
      <c r="F23" s="94" t="s">
        <v>568</v>
      </c>
      <c r="G23" s="95">
        <v>0</v>
      </c>
      <c r="H23" s="95">
        <v>0</v>
      </c>
      <c r="I23" s="95">
        <v>0</v>
      </c>
      <c r="J23" s="94" t="s">
        <v>568</v>
      </c>
      <c r="K23" s="95">
        <v>0</v>
      </c>
      <c r="L23" s="94" t="s">
        <v>568</v>
      </c>
      <c r="M23" s="94" t="s">
        <v>568</v>
      </c>
      <c r="N23" s="76" t="s">
        <v>722</v>
      </c>
      <c r="O23" s="76" t="s">
        <v>868</v>
      </c>
    </row>
    <row r="24" spans="1:15" ht="30" hidden="1" customHeight="1" x14ac:dyDescent="0.25">
      <c r="A24" s="76" t="s">
        <v>845</v>
      </c>
      <c r="B24" s="76" t="s">
        <v>111</v>
      </c>
      <c r="C24" s="79" t="s">
        <v>73</v>
      </c>
      <c r="D24" s="78" t="s">
        <v>56</v>
      </c>
      <c r="E24" s="76" t="s">
        <v>54</v>
      </c>
      <c r="F24" s="94" t="s">
        <v>884</v>
      </c>
      <c r="G24" s="95">
        <v>1</v>
      </c>
      <c r="H24" s="95">
        <v>0</v>
      </c>
      <c r="I24" s="95">
        <v>0</v>
      </c>
      <c r="J24" s="94" t="s">
        <v>568</v>
      </c>
      <c r="K24" s="95">
        <v>1</v>
      </c>
      <c r="L24" s="94" t="s">
        <v>577</v>
      </c>
      <c r="M24" s="94" t="s">
        <v>883</v>
      </c>
      <c r="N24" s="76" t="s">
        <v>722</v>
      </c>
      <c r="O24" s="76" t="s">
        <v>853</v>
      </c>
    </row>
    <row r="25" spans="1:15" ht="30" hidden="1" customHeight="1" x14ac:dyDescent="0.25">
      <c r="A25" s="76" t="s">
        <v>845</v>
      </c>
      <c r="B25" s="76" t="s">
        <v>112</v>
      </c>
      <c r="C25" s="79" t="s">
        <v>191</v>
      </c>
      <c r="D25" s="80" t="s">
        <v>66</v>
      </c>
      <c r="E25" s="76" t="s">
        <v>55</v>
      </c>
      <c r="F25" s="94" t="s">
        <v>870</v>
      </c>
      <c r="G25" s="95">
        <v>0</v>
      </c>
      <c r="H25" s="95">
        <v>1</v>
      </c>
      <c r="I25" s="95">
        <v>0</v>
      </c>
      <c r="J25" s="94" t="s">
        <v>568</v>
      </c>
      <c r="K25" s="95">
        <v>0</v>
      </c>
      <c r="L25" s="94" t="s">
        <v>568</v>
      </c>
      <c r="M25" s="94" t="s">
        <v>568</v>
      </c>
      <c r="N25" s="76" t="s">
        <v>722</v>
      </c>
      <c r="O25" s="76" t="s">
        <v>261</v>
      </c>
    </row>
    <row r="26" spans="1:15" ht="30" hidden="1" customHeight="1" x14ac:dyDescent="0.25">
      <c r="A26" s="76" t="s">
        <v>845</v>
      </c>
      <c r="B26" s="76" t="s">
        <v>113</v>
      </c>
      <c r="C26" s="79" t="s">
        <v>70</v>
      </c>
      <c r="D26" s="80" t="s">
        <v>86</v>
      </c>
      <c r="E26" s="76" t="s">
        <v>54</v>
      </c>
      <c r="F26" s="94" t="s">
        <v>869</v>
      </c>
      <c r="G26" s="95">
        <v>0</v>
      </c>
      <c r="H26" s="95">
        <v>0</v>
      </c>
      <c r="I26" s="95">
        <v>0</v>
      </c>
      <c r="J26" s="94" t="s">
        <v>568</v>
      </c>
      <c r="K26" s="95">
        <v>0</v>
      </c>
      <c r="L26" s="94" t="s">
        <v>568</v>
      </c>
      <c r="M26" s="94" t="s">
        <v>568</v>
      </c>
      <c r="N26" s="76" t="s">
        <v>722</v>
      </c>
      <c r="O26" s="76" t="s">
        <v>251</v>
      </c>
    </row>
    <row r="27" spans="1:15" ht="30" hidden="1" customHeight="1" x14ac:dyDescent="0.25">
      <c r="A27" s="76" t="s">
        <v>845</v>
      </c>
      <c r="B27" s="76" t="s">
        <v>114</v>
      </c>
      <c r="C27" s="79" t="s">
        <v>76</v>
      </c>
      <c r="D27" s="78" t="s">
        <v>61</v>
      </c>
      <c r="E27" s="76" t="s">
        <v>55</v>
      </c>
      <c r="F27" s="94" t="s">
        <v>870</v>
      </c>
      <c r="G27" s="95">
        <v>1</v>
      </c>
      <c r="H27" s="95">
        <v>1</v>
      </c>
      <c r="I27" s="95">
        <v>0</v>
      </c>
      <c r="J27" s="94" t="s">
        <v>568</v>
      </c>
      <c r="K27" s="95">
        <v>0</v>
      </c>
      <c r="L27" s="94" t="s">
        <v>568</v>
      </c>
      <c r="M27" s="94" t="s">
        <v>793</v>
      </c>
      <c r="N27" s="76" t="s">
        <v>722</v>
      </c>
      <c r="O27" s="76" t="s">
        <v>853</v>
      </c>
    </row>
    <row r="28" spans="1:15" ht="30" hidden="1" customHeight="1" x14ac:dyDescent="0.25">
      <c r="A28" s="76" t="s">
        <v>845</v>
      </c>
      <c r="B28" s="76" t="s">
        <v>115</v>
      </c>
      <c r="C28" s="79" t="s">
        <v>78</v>
      </c>
      <c r="D28" s="80" t="s">
        <v>53</v>
      </c>
      <c r="E28" s="76" t="s">
        <v>54</v>
      </c>
      <c r="F28" s="94" t="s">
        <v>568</v>
      </c>
      <c r="G28" s="95">
        <v>0</v>
      </c>
      <c r="H28" s="95">
        <v>0</v>
      </c>
      <c r="I28" s="95">
        <v>0</v>
      </c>
      <c r="J28" s="94" t="s">
        <v>568</v>
      </c>
      <c r="K28" s="95">
        <v>0</v>
      </c>
      <c r="L28" s="94" t="s">
        <v>568</v>
      </c>
      <c r="M28" s="94" t="s">
        <v>568</v>
      </c>
      <c r="N28" s="76" t="s">
        <v>722</v>
      </c>
      <c r="O28" s="76" t="s">
        <v>259</v>
      </c>
    </row>
    <row r="29" spans="1:15" ht="30" hidden="1" customHeight="1" x14ac:dyDescent="0.25">
      <c r="A29" s="76" t="s">
        <v>845</v>
      </c>
      <c r="B29" s="76" t="s">
        <v>116</v>
      </c>
      <c r="C29" s="79" t="s">
        <v>849</v>
      </c>
      <c r="D29" s="81" t="s">
        <v>68</v>
      </c>
      <c r="E29" s="76" t="s">
        <v>54</v>
      </c>
      <c r="F29" s="94" t="s">
        <v>568</v>
      </c>
      <c r="G29" s="95">
        <v>0</v>
      </c>
      <c r="H29" s="95">
        <v>0</v>
      </c>
      <c r="I29" s="95">
        <v>0</v>
      </c>
      <c r="J29" s="94" t="s">
        <v>568</v>
      </c>
      <c r="K29" s="95">
        <v>1</v>
      </c>
      <c r="L29" s="94" t="s">
        <v>577</v>
      </c>
      <c r="M29" s="94" t="s">
        <v>568</v>
      </c>
      <c r="N29" s="76" t="s">
        <v>722</v>
      </c>
      <c r="O29" s="76" t="s">
        <v>251</v>
      </c>
    </row>
    <row r="30" spans="1:15" ht="30" hidden="1" customHeight="1" x14ac:dyDescent="0.25">
      <c r="A30" s="76" t="s">
        <v>845</v>
      </c>
      <c r="B30" s="76" t="s">
        <v>117</v>
      </c>
      <c r="C30" s="79" t="s">
        <v>58</v>
      </c>
      <c r="D30" s="80" t="s">
        <v>66</v>
      </c>
      <c r="E30" s="76" t="s">
        <v>55</v>
      </c>
      <c r="F30" s="94" t="s">
        <v>963</v>
      </c>
      <c r="G30" s="95">
        <v>1</v>
      </c>
      <c r="H30" s="95">
        <v>2</v>
      </c>
      <c r="I30" s="95">
        <v>0</v>
      </c>
      <c r="J30" s="94" t="s">
        <v>568</v>
      </c>
      <c r="K30" s="95">
        <v>1</v>
      </c>
      <c r="L30" s="94" t="s">
        <v>577</v>
      </c>
      <c r="M30" s="94" t="s">
        <v>872</v>
      </c>
      <c r="N30" s="76" t="s">
        <v>722</v>
      </c>
      <c r="O30" s="76" t="s">
        <v>871</v>
      </c>
    </row>
    <row r="31" spans="1:15" ht="30" hidden="1" customHeight="1" x14ac:dyDescent="0.25">
      <c r="A31" s="76" t="s">
        <v>845</v>
      </c>
      <c r="B31" s="76" t="s">
        <v>118</v>
      </c>
      <c r="C31" s="79" t="s">
        <v>82</v>
      </c>
      <c r="D31" s="81" t="s">
        <v>65</v>
      </c>
      <c r="E31" s="76" t="s">
        <v>54</v>
      </c>
      <c r="F31" s="94" t="s">
        <v>912</v>
      </c>
      <c r="G31" s="95">
        <v>1</v>
      </c>
      <c r="H31" s="95">
        <v>0</v>
      </c>
      <c r="I31" s="95">
        <v>0</v>
      </c>
      <c r="J31" s="94" t="s">
        <v>568</v>
      </c>
      <c r="K31" s="95">
        <v>0</v>
      </c>
      <c r="L31" s="94" t="s">
        <v>568</v>
      </c>
      <c r="M31" s="94" t="s">
        <v>873</v>
      </c>
      <c r="N31" s="76" t="s">
        <v>722</v>
      </c>
      <c r="O31" s="76" t="s">
        <v>861</v>
      </c>
    </row>
    <row r="32" spans="1:15" ht="30" hidden="1" customHeight="1" x14ac:dyDescent="0.25">
      <c r="A32" s="76" t="s">
        <v>845</v>
      </c>
      <c r="B32" s="76" t="s">
        <v>846</v>
      </c>
      <c r="C32" s="79" t="s">
        <v>131</v>
      </c>
      <c r="D32" s="80" t="s">
        <v>66</v>
      </c>
      <c r="E32" s="76" t="s">
        <v>55</v>
      </c>
      <c r="F32" s="94" t="s">
        <v>857</v>
      </c>
      <c r="G32" s="95">
        <v>0</v>
      </c>
      <c r="H32" s="95">
        <v>0</v>
      </c>
      <c r="I32" s="95">
        <v>1</v>
      </c>
      <c r="J32" s="94" t="s">
        <v>874</v>
      </c>
      <c r="K32" s="95">
        <v>0</v>
      </c>
      <c r="L32" s="94" t="s">
        <v>568</v>
      </c>
      <c r="M32" s="94" t="s">
        <v>568</v>
      </c>
      <c r="N32" s="76" t="s">
        <v>722</v>
      </c>
      <c r="O32" s="76" t="s">
        <v>259</v>
      </c>
    </row>
    <row r="33" spans="1:15" ht="30" hidden="1" customHeight="1" x14ac:dyDescent="0.25">
      <c r="A33" s="76" t="s">
        <v>845</v>
      </c>
      <c r="B33" s="76" t="s">
        <v>119</v>
      </c>
      <c r="C33" s="79" t="s">
        <v>130</v>
      </c>
      <c r="D33" s="81" t="s">
        <v>84</v>
      </c>
      <c r="E33" s="76" t="s">
        <v>54</v>
      </c>
      <c r="F33" s="94" t="s">
        <v>568</v>
      </c>
      <c r="G33" s="95">
        <v>0</v>
      </c>
      <c r="H33" s="95">
        <v>0</v>
      </c>
      <c r="I33" s="95">
        <v>0</v>
      </c>
      <c r="J33" s="94" t="s">
        <v>568</v>
      </c>
      <c r="K33" s="95">
        <v>1</v>
      </c>
      <c r="L33" s="94" t="s">
        <v>577</v>
      </c>
      <c r="M33" s="94" t="s">
        <v>568</v>
      </c>
      <c r="N33" s="76" t="s">
        <v>722</v>
      </c>
      <c r="O33" s="76" t="s">
        <v>261</v>
      </c>
    </row>
    <row r="34" spans="1:15" ht="30" hidden="1" customHeight="1" x14ac:dyDescent="0.25">
      <c r="A34" s="76" t="s">
        <v>845</v>
      </c>
      <c r="B34" s="76" t="s">
        <v>120</v>
      </c>
      <c r="C34" s="79" t="s">
        <v>768</v>
      </c>
      <c r="D34" s="81" t="s">
        <v>84</v>
      </c>
      <c r="E34" s="76" t="s">
        <v>55</v>
      </c>
      <c r="F34" s="94" t="s">
        <v>568</v>
      </c>
      <c r="G34" s="95">
        <v>1</v>
      </c>
      <c r="H34" s="95">
        <v>1</v>
      </c>
      <c r="I34" s="95">
        <v>0</v>
      </c>
      <c r="J34" s="94" t="s">
        <v>568</v>
      </c>
      <c r="K34" s="95">
        <v>0</v>
      </c>
      <c r="L34" s="94" t="s">
        <v>568</v>
      </c>
      <c r="M34" s="94" t="s">
        <v>876</v>
      </c>
      <c r="N34" s="76" t="s">
        <v>722</v>
      </c>
      <c r="O34" s="76" t="s">
        <v>875</v>
      </c>
    </row>
    <row r="35" spans="1:15" ht="30" hidden="1" customHeight="1" x14ac:dyDescent="0.25">
      <c r="A35" s="76" t="s">
        <v>845</v>
      </c>
      <c r="B35" s="76" t="s">
        <v>121</v>
      </c>
      <c r="C35" s="79" t="s">
        <v>129</v>
      </c>
      <c r="D35" s="81" t="s">
        <v>59</v>
      </c>
      <c r="E35" s="76" t="s">
        <v>54</v>
      </c>
      <c r="F35" s="94" t="s">
        <v>877</v>
      </c>
      <c r="G35" s="95">
        <v>0</v>
      </c>
      <c r="H35" s="95">
        <v>0</v>
      </c>
      <c r="I35" s="95">
        <v>0</v>
      </c>
      <c r="J35" s="94" t="s">
        <v>568</v>
      </c>
      <c r="K35" s="95">
        <v>0</v>
      </c>
      <c r="L35" s="94" t="s">
        <v>568</v>
      </c>
      <c r="M35" s="94" t="s">
        <v>568</v>
      </c>
      <c r="N35" s="76" t="s">
        <v>722</v>
      </c>
      <c r="O35" s="76" t="s">
        <v>741</v>
      </c>
    </row>
    <row r="36" spans="1:15" ht="30" hidden="1" customHeight="1" x14ac:dyDescent="0.25">
      <c r="A36" s="76" t="s">
        <v>845</v>
      </c>
      <c r="B36" s="76" t="s">
        <v>122</v>
      </c>
      <c r="C36" s="79" t="s">
        <v>57</v>
      </c>
      <c r="D36" s="78" t="s">
        <v>61</v>
      </c>
      <c r="E36" s="76" t="s">
        <v>55</v>
      </c>
      <c r="F36" s="94" t="s">
        <v>870</v>
      </c>
      <c r="G36" s="95">
        <v>0</v>
      </c>
      <c r="H36" s="95">
        <v>0</v>
      </c>
      <c r="I36" s="95">
        <v>0</v>
      </c>
      <c r="J36" s="94" t="s">
        <v>568</v>
      </c>
      <c r="K36" s="95">
        <v>0</v>
      </c>
      <c r="L36" s="94" t="s">
        <v>568</v>
      </c>
      <c r="M36" s="94" t="s">
        <v>568</v>
      </c>
      <c r="N36" s="76" t="s">
        <v>722</v>
      </c>
      <c r="O36" s="76" t="s">
        <v>687</v>
      </c>
    </row>
    <row r="37" spans="1:15" ht="30" hidden="1" customHeight="1" x14ac:dyDescent="0.25">
      <c r="A37" s="76" t="s">
        <v>845</v>
      </c>
      <c r="B37" s="76" t="s">
        <v>123</v>
      </c>
      <c r="C37" s="79" t="s">
        <v>80</v>
      </c>
      <c r="D37" s="81" t="s">
        <v>60</v>
      </c>
      <c r="E37" s="76" t="s">
        <v>54</v>
      </c>
      <c r="F37" s="94" t="s">
        <v>568</v>
      </c>
      <c r="G37" s="95">
        <v>0</v>
      </c>
      <c r="H37" s="95">
        <v>0</v>
      </c>
      <c r="I37" s="95">
        <v>0</v>
      </c>
      <c r="J37" s="94" t="s">
        <v>568</v>
      </c>
      <c r="K37" s="95">
        <v>0</v>
      </c>
      <c r="L37" s="94" t="s">
        <v>568</v>
      </c>
      <c r="M37" s="94" t="s">
        <v>568</v>
      </c>
      <c r="N37" s="76" t="s">
        <v>722</v>
      </c>
      <c r="O37" s="76" t="s">
        <v>788</v>
      </c>
    </row>
    <row r="38" spans="1:15" ht="30" hidden="1" customHeight="1" x14ac:dyDescent="0.25">
      <c r="A38" s="76" t="s">
        <v>845</v>
      </c>
      <c r="B38" s="76" t="s">
        <v>124</v>
      </c>
      <c r="C38" s="79" t="s">
        <v>621</v>
      </c>
      <c r="D38" s="81" t="s">
        <v>59</v>
      </c>
      <c r="E38" s="76" t="s">
        <v>55</v>
      </c>
      <c r="F38" s="94" t="s">
        <v>793</v>
      </c>
      <c r="G38" s="95">
        <v>3</v>
      </c>
      <c r="H38" s="95">
        <v>2</v>
      </c>
      <c r="I38" s="95">
        <v>0</v>
      </c>
      <c r="J38" s="94" t="s">
        <v>568</v>
      </c>
      <c r="K38" s="95">
        <v>0</v>
      </c>
      <c r="L38" s="94" t="s">
        <v>568</v>
      </c>
      <c r="M38" s="94" t="s">
        <v>878</v>
      </c>
      <c r="N38" s="76" t="s">
        <v>722</v>
      </c>
      <c r="O38" s="76" t="s">
        <v>856</v>
      </c>
    </row>
    <row r="39" spans="1:15" ht="30" hidden="1" customHeight="1" x14ac:dyDescent="0.25">
      <c r="A39" s="76" t="s">
        <v>845</v>
      </c>
      <c r="B39" s="76" t="s">
        <v>125</v>
      </c>
      <c r="C39" s="79" t="s">
        <v>851</v>
      </c>
      <c r="D39" s="81" t="s">
        <v>84</v>
      </c>
      <c r="E39" s="76" t="s">
        <v>54</v>
      </c>
      <c r="F39" s="94" t="s">
        <v>568</v>
      </c>
      <c r="G39" s="95">
        <v>0</v>
      </c>
      <c r="H39" s="95">
        <v>0</v>
      </c>
      <c r="I39" s="95">
        <v>0</v>
      </c>
      <c r="J39" s="94" t="s">
        <v>568</v>
      </c>
      <c r="K39" s="95">
        <v>0</v>
      </c>
      <c r="L39" s="94" t="s">
        <v>568</v>
      </c>
      <c r="M39" s="94" t="s">
        <v>568</v>
      </c>
      <c r="N39" s="76" t="s">
        <v>722</v>
      </c>
      <c r="O39" s="76" t="s">
        <v>853</v>
      </c>
    </row>
    <row r="40" spans="1:15" ht="30" hidden="1" customHeight="1" thickBot="1" x14ac:dyDescent="0.3">
      <c r="A40" s="84" t="s">
        <v>845</v>
      </c>
      <c r="B40" s="84" t="s">
        <v>126</v>
      </c>
      <c r="C40" s="85" t="s">
        <v>852</v>
      </c>
      <c r="D40" s="89" t="s">
        <v>60</v>
      </c>
      <c r="E40" s="84" t="s">
        <v>55</v>
      </c>
      <c r="F40" s="96" t="s">
        <v>568</v>
      </c>
      <c r="G40" s="97">
        <v>1</v>
      </c>
      <c r="H40" s="97">
        <v>0</v>
      </c>
      <c r="I40" s="97">
        <v>0</v>
      </c>
      <c r="J40" s="96" t="s">
        <v>568</v>
      </c>
      <c r="K40" s="97">
        <v>0</v>
      </c>
      <c r="L40" s="96" t="s">
        <v>568</v>
      </c>
      <c r="M40" s="96" t="s">
        <v>870</v>
      </c>
      <c r="N40" s="84" t="s">
        <v>722</v>
      </c>
      <c r="O40" s="84" t="s">
        <v>723</v>
      </c>
    </row>
    <row r="41" spans="1:15" ht="30" hidden="1" customHeight="1" x14ac:dyDescent="0.25">
      <c r="A41" s="76" t="s">
        <v>765</v>
      </c>
      <c r="B41" s="76" t="s">
        <v>91</v>
      </c>
      <c r="C41" s="79" t="s">
        <v>79</v>
      </c>
      <c r="D41" s="80" t="s">
        <v>53</v>
      </c>
      <c r="E41" s="76" t="s">
        <v>55</v>
      </c>
      <c r="F41" s="94" t="s">
        <v>568</v>
      </c>
      <c r="G41" s="95">
        <v>0</v>
      </c>
      <c r="H41" s="95">
        <v>0</v>
      </c>
      <c r="I41" s="95">
        <v>0</v>
      </c>
      <c r="J41" s="94" t="s">
        <v>568</v>
      </c>
      <c r="K41" s="95">
        <v>0</v>
      </c>
      <c r="L41" s="94" t="s">
        <v>568</v>
      </c>
      <c r="M41" s="94" t="s">
        <v>568</v>
      </c>
      <c r="N41" s="76" t="s">
        <v>722</v>
      </c>
      <c r="O41" s="76" t="s">
        <v>788</v>
      </c>
    </row>
    <row r="42" spans="1:15" ht="30" hidden="1" customHeight="1" x14ac:dyDescent="0.25">
      <c r="A42" s="76" t="s">
        <v>765</v>
      </c>
      <c r="B42" s="76" t="s">
        <v>92</v>
      </c>
      <c r="C42" s="79" t="s">
        <v>83</v>
      </c>
      <c r="D42" s="81" t="s">
        <v>60</v>
      </c>
      <c r="E42" s="76" t="s">
        <v>54</v>
      </c>
      <c r="F42" s="94" t="s">
        <v>568</v>
      </c>
      <c r="G42" s="95">
        <v>1</v>
      </c>
      <c r="H42" s="95">
        <v>0</v>
      </c>
      <c r="I42" s="95">
        <v>0</v>
      </c>
      <c r="J42" s="94" t="s">
        <v>568</v>
      </c>
      <c r="K42" s="95">
        <v>0</v>
      </c>
      <c r="L42" s="94" t="s">
        <v>568</v>
      </c>
      <c r="M42" s="94" t="s">
        <v>676</v>
      </c>
      <c r="N42" s="76" t="s">
        <v>722</v>
      </c>
      <c r="O42" s="76" t="s">
        <v>260</v>
      </c>
    </row>
    <row r="43" spans="1:15" ht="30" hidden="1" customHeight="1" x14ac:dyDescent="0.25">
      <c r="A43" s="76" t="s">
        <v>765</v>
      </c>
      <c r="B43" s="76" t="s">
        <v>93</v>
      </c>
      <c r="C43" s="82" t="s">
        <v>78</v>
      </c>
      <c r="D43" s="80" t="s">
        <v>66</v>
      </c>
      <c r="E43" s="76" t="s">
        <v>55</v>
      </c>
      <c r="F43" s="94" t="s">
        <v>429</v>
      </c>
      <c r="G43" s="95">
        <v>0</v>
      </c>
      <c r="H43" s="95">
        <v>1</v>
      </c>
      <c r="I43" s="95">
        <v>0</v>
      </c>
      <c r="J43" s="94" t="s">
        <v>568</v>
      </c>
      <c r="K43" s="95">
        <v>0</v>
      </c>
      <c r="L43" s="94" t="s">
        <v>568</v>
      </c>
      <c r="M43" s="94" t="s">
        <v>568</v>
      </c>
      <c r="N43" s="76" t="s">
        <v>722</v>
      </c>
      <c r="O43" s="76" t="s">
        <v>261</v>
      </c>
    </row>
    <row r="44" spans="1:15" ht="30" hidden="1" customHeight="1" x14ac:dyDescent="0.25">
      <c r="A44" s="76" t="s">
        <v>765</v>
      </c>
      <c r="B44" s="76" t="s">
        <v>95</v>
      </c>
      <c r="C44" s="82" t="s">
        <v>131</v>
      </c>
      <c r="D44" s="80" t="s">
        <v>53</v>
      </c>
      <c r="E44" s="76" t="s">
        <v>54</v>
      </c>
      <c r="F44" s="94" t="s">
        <v>568</v>
      </c>
      <c r="G44" s="95">
        <v>1</v>
      </c>
      <c r="H44" s="95">
        <v>0</v>
      </c>
      <c r="I44" s="95">
        <v>0</v>
      </c>
      <c r="J44" s="94" t="s">
        <v>568</v>
      </c>
      <c r="K44" s="95">
        <v>0</v>
      </c>
      <c r="L44" s="94" t="s">
        <v>568</v>
      </c>
      <c r="M44" s="94" t="s">
        <v>789</v>
      </c>
      <c r="N44" s="76" t="s">
        <v>722</v>
      </c>
      <c r="O44" s="76" t="s">
        <v>259</v>
      </c>
    </row>
    <row r="45" spans="1:15" ht="30" hidden="1" customHeight="1" x14ac:dyDescent="0.25">
      <c r="A45" s="76" t="s">
        <v>765</v>
      </c>
      <c r="B45" s="76" t="s">
        <v>96</v>
      </c>
      <c r="C45" s="79" t="s">
        <v>71</v>
      </c>
      <c r="D45" s="81" t="s">
        <v>409</v>
      </c>
      <c r="E45" s="76" t="s">
        <v>55</v>
      </c>
      <c r="F45" s="94" t="s">
        <v>744</v>
      </c>
      <c r="G45" s="95">
        <v>0</v>
      </c>
      <c r="H45" s="95">
        <v>0</v>
      </c>
      <c r="I45" s="95">
        <v>0</v>
      </c>
      <c r="J45" s="94" t="s">
        <v>568</v>
      </c>
      <c r="K45" s="95">
        <v>0</v>
      </c>
      <c r="L45" s="94" t="s">
        <v>568</v>
      </c>
      <c r="M45" s="94" t="s">
        <v>568</v>
      </c>
      <c r="N45" s="76" t="s">
        <v>722</v>
      </c>
      <c r="O45" s="76" t="s">
        <v>260</v>
      </c>
    </row>
    <row r="46" spans="1:15" ht="30" hidden="1" customHeight="1" x14ac:dyDescent="0.25">
      <c r="A46" s="76" t="s">
        <v>765</v>
      </c>
      <c r="B46" s="76" t="s">
        <v>100</v>
      </c>
      <c r="C46" s="82" t="s">
        <v>191</v>
      </c>
      <c r="D46" s="81" t="s">
        <v>60</v>
      </c>
      <c r="E46" s="76" t="s">
        <v>54</v>
      </c>
      <c r="F46" s="94" t="s">
        <v>568</v>
      </c>
      <c r="G46" s="95">
        <v>0</v>
      </c>
      <c r="H46" s="95">
        <v>0</v>
      </c>
      <c r="I46" s="95">
        <v>0</v>
      </c>
      <c r="J46" s="94" t="s">
        <v>568</v>
      </c>
      <c r="K46" s="95">
        <v>0</v>
      </c>
      <c r="L46" s="94" t="s">
        <v>568</v>
      </c>
      <c r="M46" s="94" t="s">
        <v>568</v>
      </c>
      <c r="N46" s="76" t="s">
        <v>722</v>
      </c>
      <c r="O46" s="76" t="s">
        <v>250</v>
      </c>
    </row>
    <row r="47" spans="1:15" ht="30" hidden="1" customHeight="1" x14ac:dyDescent="0.25">
      <c r="A47" s="76" t="s">
        <v>765</v>
      </c>
      <c r="B47" s="76" t="s">
        <v>97</v>
      </c>
      <c r="C47" s="79" t="s">
        <v>70</v>
      </c>
      <c r="D47" s="78" t="s">
        <v>56</v>
      </c>
      <c r="E47" s="76" t="s">
        <v>55</v>
      </c>
      <c r="F47" s="94" t="s">
        <v>790</v>
      </c>
      <c r="G47" s="95">
        <v>0</v>
      </c>
      <c r="H47" s="95">
        <v>0</v>
      </c>
      <c r="I47" s="95">
        <v>0</v>
      </c>
      <c r="J47" s="94" t="s">
        <v>568</v>
      </c>
      <c r="K47" s="95">
        <v>0</v>
      </c>
      <c r="L47" s="94" t="s">
        <v>568</v>
      </c>
      <c r="M47" s="94" t="s">
        <v>568</v>
      </c>
      <c r="N47" s="76" t="s">
        <v>722</v>
      </c>
      <c r="O47" s="76" t="s">
        <v>697</v>
      </c>
    </row>
    <row r="48" spans="1:15" ht="30" hidden="1" customHeight="1" x14ac:dyDescent="0.25">
      <c r="A48" s="76" t="s">
        <v>765</v>
      </c>
      <c r="B48" s="76" t="s">
        <v>98</v>
      </c>
      <c r="C48" s="79" t="s">
        <v>406</v>
      </c>
      <c r="D48" s="81" t="s">
        <v>766</v>
      </c>
      <c r="E48" s="76" t="s">
        <v>54</v>
      </c>
      <c r="F48" s="94" t="s">
        <v>680</v>
      </c>
      <c r="G48" s="95">
        <v>0</v>
      </c>
      <c r="H48" s="95">
        <v>0</v>
      </c>
      <c r="I48" s="95">
        <v>0</v>
      </c>
      <c r="J48" s="94" t="s">
        <v>568</v>
      </c>
      <c r="K48" s="95">
        <v>0</v>
      </c>
      <c r="L48" s="94" t="s">
        <v>568</v>
      </c>
      <c r="M48" s="94" t="s">
        <v>568</v>
      </c>
      <c r="N48" s="76" t="s">
        <v>722</v>
      </c>
      <c r="O48" s="76" t="s">
        <v>686</v>
      </c>
    </row>
    <row r="49" spans="1:15" ht="30" hidden="1" customHeight="1" x14ac:dyDescent="0.25">
      <c r="A49" s="76" t="s">
        <v>765</v>
      </c>
      <c r="B49" s="76" t="s">
        <v>99</v>
      </c>
      <c r="C49" s="79" t="s">
        <v>76</v>
      </c>
      <c r="D49" s="80" t="s">
        <v>66</v>
      </c>
      <c r="E49" s="76" t="s">
        <v>55</v>
      </c>
      <c r="F49" s="94" t="s">
        <v>963</v>
      </c>
      <c r="G49" s="95">
        <v>0</v>
      </c>
      <c r="H49" s="95">
        <v>0</v>
      </c>
      <c r="I49" s="95">
        <v>1</v>
      </c>
      <c r="J49" s="94" t="s">
        <v>969</v>
      </c>
      <c r="K49" s="95">
        <v>0</v>
      </c>
      <c r="L49" s="94" t="s">
        <v>568</v>
      </c>
      <c r="M49" s="94" t="s">
        <v>568</v>
      </c>
      <c r="N49" s="76" t="s">
        <v>722</v>
      </c>
      <c r="O49" s="76" t="s">
        <v>788</v>
      </c>
    </row>
    <row r="50" spans="1:15" ht="30" hidden="1" customHeight="1" x14ac:dyDescent="0.25">
      <c r="A50" s="76" t="s">
        <v>765</v>
      </c>
      <c r="B50" s="76" t="s">
        <v>134</v>
      </c>
      <c r="C50" s="79" t="s">
        <v>130</v>
      </c>
      <c r="D50" s="78" t="s">
        <v>85</v>
      </c>
      <c r="E50" s="76" t="s">
        <v>54</v>
      </c>
      <c r="F50" s="94" t="s">
        <v>791</v>
      </c>
      <c r="G50" s="95">
        <v>0</v>
      </c>
      <c r="H50" s="95">
        <v>0</v>
      </c>
      <c r="I50" s="95">
        <v>0</v>
      </c>
      <c r="J50" s="94" t="s">
        <v>568</v>
      </c>
      <c r="K50" s="95">
        <v>0</v>
      </c>
      <c r="L50" s="94" t="s">
        <v>568</v>
      </c>
      <c r="M50" s="94" t="s">
        <v>568</v>
      </c>
      <c r="N50" s="76" t="s">
        <v>722</v>
      </c>
      <c r="O50" s="76" t="s">
        <v>741</v>
      </c>
    </row>
    <row r="51" spans="1:15" ht="30" hidden="1" customHeight="1" x14ac:dyDescent="0.25">
      <c r="A51" s="76" t="s">
        <v>765</v>
      </c>
      <c r="B51" s="76" t="s">
        <v>101</v>
      </c>
      <c r="C51" s="79" t="s">
        <v>80</v>
      </c>
      <c r="D51" s="81" t="s">
        <v>84</v>
      </c>
      <c r="E51" s="76" t="s">
        <v>55</v>
      </c>
      <c r="F51" s="94" t="s">
        <v>568</v>
      </c>
      <c r="G51" s="95">
        <v>0</v>
      </c>
      <c r="H51" s="95">
        <v>0</v>
      </c>
      <c r="I51" s="95">
        <v>0</v>
      </c>
      <c r="J51" s="94" t="s">
        <v>568</v>
      </c>
      <c r="K51" s="95">
        <v>0</v>
      </c>
      <c r="L51" s="94" t="s">
        <v>568</v>
      </c>
      <c r="M51" s="94" t="s">
        <v>568</v>
      </c>
      <c r="N51" s="76" t="s">
        <v>722</v>
      </c>
      <c r="O51" s="76" t="s">
        <v>723</v>
      </c>
    </row>
    <row r="52" spans="1:15" ht="30" hidden="1" customHeight="1" x14ac:dyDescent="0.25">
      <c r="A52" s="76" t="s">
        <v>765</v>
      </c>
      <c r="B52" s="76" t="s">
        <v>102</v>
      </c>
      <c r="C52" s="79" t="s">
        <v>621</v>
      </c>
      <c r="D52" s="81" t="s">
        <v>60</v>
      </c>
      <c r="E52" s="76" t="s">
        <v>54</v>
      </c>
      <c r="F52" s="94" t="s">
        <v>568</v>
      </c>
      <c r="G52" s="95">
        <v>0</v>
      </c>
      <c r="H52" s="95">
        <v>0</v>
      </c>
      <c r="I52" s="95">
        <v>0</v>
      </c>
      <c r="J52" s="94" t="s">
        <v>568</v>
      </c>
      <c r="K52" s="95">
        <v>0</v>
      </c>
      <c r="L52" s="94" t="s">
        <v>568</v>
      </c>
      <c r="M52" s="94" t="s">
        <v>568</v>
      </c>
      <c r="N52" s="76" t="s">
        <v>722</v>
      </c>
      <c r="O52" s="76" t="s">
        <v>422</v>
      </c>
    </row>
    <row r="53" spans="1:15" ht="30" hidden="1" customHeight="1" x14ac:dyDescent="0.25">
      <c r="A53" s="76" t="s">
        <v>765</v>
      </c>
      <c r="B53" s="76" t="s">
        <v>103</v>
      </c>
      <c r="C53" s="79" t="s">
        <v>73</v>
      </c>
      <c r="D53" s="78" t="s">
        <v>767</v>
      </c>
      <c r="E53" s="76" t="s">
        <v>55</v>
      </c>
      <c r="F53" s="94" t="s">
        <v>800</v>
      </c>
      <c r="G53" s="95">
        <v>1</v>
      </c>
      <c r="H53" s="95">
        <v>0</v>
      </c>
      <c r="I53" s="95">
        <v>1</v>
      </c>
      <c r="J53" s="94" t="s">
        <v>792</v>
      </c>
      <c r="K53" s="95">
        <v>0</v>
      </c>
      <c r="L53" s="94" t="s">
        <v>568</v>
      </c>
      <c r="M53" s="94" t="s">
        <v>963</v>
      </c>
      <c r="N53" s="76" t="s">
        <v>722</v>
      </c>
      <c r="O53" s="76" t="s">
        <v>259</v>
      </c>
    </row>
    <row r="54" spans="1:15" ht="30" hidden="1" customHeight="1" x14ac:dyDescent="0.25">
      <c r="A54" s="76" t="s">
        <v>765</v>
      </c>
      <c r="B54" s="76" t="s">
        <v>104</v>
      </c>
      <c r="C54" s="79" t="s">
        <v>58</v>
      </c>
      <c r="D54" s="81" t="s">
        <v>84</v>
      </c>
      <c r="E54" s="76" t="s">
        <v>54</v>
      </c>
      <c r="F54" s="94" t="s">
        <v>568</v>
      </c>
      <c r="G54" s="95">
        <v>1</v>
      </c>
      <c r="H54" s="95">
        <v>0</v>
      </c>
      <c r="I54" s="95">
        <v>0</v>
      </c>
      <c r="J54" s="94" t="s">
        <v>568</v>
      </c>
      <c r="K54" s="95">
        <v>1</v>
      </c>
      <c r="L54" s="94" t="s">
        <v>577</v>
      </c>
      <c r="M54" s="94" t="s">
        <v>793</v>
      </c>
      <c r="N54" s="76" t="s">
        <v>722</v>
      </c>
      <c r="O54" s="76" t="s">
        <v>740</v>
      </c>
    </row>
    <row r="55" spans="1:15" ht="30" hidden="1" customHeight="1" x14ac:dyDescent="0.25">
      <c r="A55" s="76" t="s">
        <v>765</v>
      </c>
      <c r="B55" s="76" t="s">
        <v>105</v>
      </c>
      <c r="C55" s="79" t="s">
        <v>82</v>
      </c>
      <c r="D55" s="78" t="s">
        <v>61</v>
      </c>
      <c r="E55" s="76" t="s">
        <v>55</v>
      </c>
      <c r="F55" s="94" t="s">
        <v>413</v>
      </c>
      <c r="G55" s="95">
        <v>0</v>
      </c>
      <c r="H55" s="95">
        <v>0</v>
      </c>
      <c r="I55" s="95">
        <v>0</v>
      </c>
      <c r="J55" s="94" t="s">
        <v>568</v>
      </c>
      <c r="K55" s="95">
        <v>0</v>
      </c>
      <c r="L55" s="94" t="s">
        <v>568</v>
      </c>
      <c r="M55" s="94" t="s">
        <v>568</v>
      </c>
      <c r="N55" s="76" t="s">
        <v>722</v>
      </c>
      <c r="O55" s="76" t="s">
        <v>687</v>
      </c>
    </row>
    <row r="56" spans="1:15" ht="30" hidden="1" customHeight="1" x14ac:dyDescent="0.25">
      <c r="A56" s="76" t="s">
        <v>765</v>
      </c>
      <c r="B56" s="76" t="s">
        <v>106</v>
      </c>
      <c r="C56" s="79" t="s">
        <v>77</v>
      </c>
      <c r="D56" s="78" t="s">
        <v>61</v>
      </c>
      <c r="E56" s="76" t="s">
        <v>54</v>
      </c>
      <c r="F56" s="94" t="s">
        <v>794</v>
      </c>
      <c r="G56" s="95">
        <v>0</v>
      </c>
      <c r="H56" s="95">
        <v>0</v>
      </c>
      <c r="I56" s="95">
        <v>0</v>
      </c>
      <c r="J56" s="94" t="s">
        <v>568</v>
      </c>
      <c r="K56" s="95">
        <v>0</v>
      </c>
      <c r="L56" s="94" t="s">
        <v>568</v>
      </c>
      <c r="M56" s="94" t="s">
        <v>568</v>
      </c>
      <c r="N56" s="76" t="s">
        <v>722</v>
      </c>
      <c r="O56" s="76" t="s">
        <v>251</v>
      </c>
    </row>
    <row r="57" spans="1:15" ht="30" hidden="1" customHeight="1" x14ac:dyDescent="0.25">
      <c r="A57" s="76" t="s">
        <v>765</v>
      </c>
      <c r="B57" s="76" t="s">
        <v>107</v>
      </c>
      <c r="C57" s="79" t="s">
        <v>768</v>
      </c>
      <c r="D57" s="80" t="s">
        <v>53</v>
      </c>
      <c r="E57" s="76" t="s">
        <v>55</v>
      </c>
      <c r="F57" s="94" t="s">
        <v>568</v>
      </c>
      <c r="G57" s="95">
        <v>0</v>
      </c>
      <c r="H57" s="95">
        <v>0</v>
      </c>
      <c r="I57" s="95">
        <v>0</v>
      </c>
      <c r="J57" s="94" t="s">
        <v>568</v>
      </c>
      <c r="K57" s="95">
        <v>0</v>
      </c>
      <c r="L57" s="94" t="s">
        <v>568</v>
      </c>
      <c r="M57" s="94" t="s">
        <v>568</v>
      </c>
      <c r="N57" s="76" t="s">
        <v>722</v>
      </c>
      <c r="O57" s="76" t="s">
        <v>260</v>
      </c>
    </row>
    <row r="58" spans="1:15" ht="30" hidden="1" customHeight="1" thickBot="1" x14ac:dyDescent="0.3">
      <c r="A58" s="84" t="s">
        <v>765</v>
      </c>
      <c r="B58" s="84" t="s">
        <v>108</v>
      </c>
      <c r="C58" s="85" t="s">
        <v>57</v>
      </c>
      <c r="D58" s="89" t="s">
        <v>59</v>
      </c>
      <c r="E58" s="84" t="s">
        <v>54</v>
      </c>
      <c r="F58" s="96" t="s">
        <v>429</v>
      </c>
      <c r="G58" s="97">
        <v>0</v>
      </c>
      <c r="H58" s="97">
        <v>0</v>
      </c>
      <c r="I58" s="97">
        <v>0</v>
      </c>
      <c r="J58" s="96" t="s">
        <v>568</v>
      </c>
      <c r="K58" s="97">
        <v>1</v>
      </c>
      <c r="L58" s="96" t="s">
        <v>743</v>
      </c>
      <c r="M58" s="96" t="s">
        <v>568</v>
      </c>
      <c r="N58" s="84" t="s">
        <v>722</v>
      </c>
      <c r="O58" s="84" t="s">
        <v>701</v>
      </c>
    </row>
    <row r="59" spans="1:15" ht="30" hidden="1" customHeight="1" x14ac:dyDescent="0.25">
      <c r="A59" s="76" t="s">
        <v>719</v>
      </c>
      <c r="B59" s="76" t="s">
        <v>91</v>
      </c>
      <c r="C59" s="79" t="s">
        <v>79</v>
      </c>
      <c r="D59" s="80" t="s">
        <v>66</v>
      </c>
      <c r="E59" s="76" t="s">
        <v>54</v>
      </c>
      <c r="F59" s="94" t="s">
        <v>675</v>
      </c>
      <c r="G59" s="95">
        <v>0</v>
      </c>
      <c r="H59" s="95">
        <v>0</v>
      </c>
      <c r="I59" s="95">
        <v>0</v>
      </c>
      <c r="J59" s="94" t="s">
        <v>568</v>
      </c>
      <c r="K59" s="95">
        <v>0</v>
      </c>
      <c r="L59" s="94" t="s">
        <v>568</v>
      </c>
      <c r="M59" s="94" t="s">
        <v>568</v>
      </c>
      <c r="N59" s="76" t="s">
        <v>722</v>
      </c>
      <c r="O59" s="76" t="s">
        <v>740</v>
      </c>
    </row>
    <row r="60" spans="1:15" ht="30" hidden="1" customHeight="1" x14ac:dyDescent="0.25">
      <c r="A60" s="76" t="s">
        <v>719</v>
      </c>
      <c r="B60" s="76" t="s">
        <v>92</v>
      </c>
      <c r="C60" s="79" t="s">
        <v>83</v>
      </c>
      <c r="D60" s="81" t="s">
        <v>59</v>
      </c>
      <c r="E60" s="76" t="s">
        <v>55</v>
      </c>
      <c r="F60" s="94" t="s">
        <v>683</v>
      </c>
      <c r="G60" s="95">
        <v>0</v>
      </c>
      <c r="H60" s="95">
        <v>0</v>
      </c>
      <c r="I60" s="95">
        <v>0</v>
      </c>
      <c r="J60" s="94" t="s">
        <v>568</v>
      </c>
      <c r="K60" s="95">
        <v>0</v>
      </c>
      <c r="L60" s="94" t="s">
        <v>568</v>
      </c>
      <c r="M60" s="94" t="s">
        <v>568</v>
      </c>
      <c r="N60" s="76" t="s">
        <v>722</v>
      </c>
      <c r="O60" s="76" t="s">
        <v>422</v>
      </c>
    </row>
    <row r="61" spans="1:15" ht="30" hidden="1" customHeight="1" x14ac:dyDescent="0.25">
      <c r="A61" s="76" t="s">
        <v>719</v>
      </c>
      <c r="B61" s="76" t="s">
        <v>93</v>
      </c>
      <c r="C61" s="82" t="s">
        <v>78</v>
      </c>
      <c r="D61" s="81" t="s">
        <v>84</v>
      </c>
      <c r="E61" s="76" t="s">
        <v>54</v>
      </c>
      <c r="F61" s="94" t="s">
        <v>568</v>
      </c>
      <c r="G61" s="95">
        <v>1</v>
      </c>
      <c r="H61" s="95">
        <v>0</v>
      </c>
      <c r="I61" s="95">
        <v>0</v>
      </c>
      <c r="J61" s="94" t="s">
        <v>568</v>
      </c>
      <c r="K61" s="95">
        <v>0</v>
      </c>
      <c r="L61" s="94" t="s">
        <v>568</v>
      </c>
      <c r="M61" s="94" t="s">
        <v>676</v>
      </c>
      <c r="N61" s="76" t="s">
        <v>722</v>
      </c>
      <c r="O61" s="76" t="s">
        <v>432</v>
      </c>
    </row>
    <row r="62" spans="1:15" ht="30" hidden="1" customHeight="1" x14ac:dyDescent="0.25">
      <c r="A62" s="76" t="s">
        <v>719</v>
      </c>
      <c r="B62" s="76" t="s">
        <v>95</v>
      </c>
      <c r="C62" s="82" t="s">
        <v>131</v>
      </c>
      <c r="D62" s="78" t="s">
        <v>56</v>
      </c>
      <c r="E62" s="76" t="s">
        <v>55</v>
      </c>
      <c r="F62" s="94" t="s">
        <v>965</v>
      </c>
      <c r="G62" s="95">
        <v>2</v>
      </c>
      <c r="H62" s="95">
        <v>1</v>
      </c>
      <c r="I62" s="95">
        <v>0</v>
      </c>
      <c r="J62" s="94" t="s">
        <v>568</v>
      </c>
      <c r="K62" s="95">
        <v>1</v>
      </c>
      <c r="L62" s="94" t="s">
        <v>1035</v>
      </c>
      <c r="M62" s="94" t="s">
        <v>808</v>
      </c>
      <c r="N62" s="76" t="s">
        <v>722</v>
      </c>
      <c r="O62" s="76" t="s">
        <v>741</v>
      </c>
    </row>
    <row r="63" spans="1:15" ht="30" hidden="1" customHeight="1" x14ac:dyDescent="0.25">
      <c r="A63" s="76" t="s">
        <v>719</v>
      </c>
      <c r="B63" s="76" t="s">
        <v>96</v>
      </c>
      <c r="C63" s="79" t="s">
        <v>71</v>
      </c>
      <c r="D63" s="78" t="s">
        <v>64</v>
      </c>
      <c r="E63" s="76" t="s">
        <v>54</v>
      </c>
      <c r="F63" s="94" t="s">
        <v>742</v>
      </c>
      <c r="G63" s="95">
        <v>0</v>
      </c>
      <c r="H63" s="95">
        <v>0</v>
      </c>
      <c r="I63" s="95">
        <v>0</v>
      </c>
      <c r="J63" s="94" t="s">
        <v>568</v>
      </c>
      <c r="K63" s="95">
        <v>1</v>
      </c>
      <c r="L63" s="94" t="s">
        <v>743</v>
      </c>
      <c r="M63" s="94" t="s">
        <v>568</v>
      </c>
      <c r="N63" s="76" t="s">
        <v>722</v>
      </c>
      <c r="O63" s="76" t="s">
        <v>701</v>
      </c>
    </row>
    <row r="64" spans="1:15" ht="30" hidden="1" customHeight="1" x14ac:dyDescent="0.25">
      <c r="A64" s="76" t="s">
        <v>719</v>
      </c>
      <c r="B64" s="76" t="s">
        <v>100</v>
      </c>
      <c r="C64" s="82" t="s">
        <v>191</v>
      </c>
      <c r="D64" s="80" t="s">
        <v>86</v>
      </c>
      <c r="E64" s="76" t="s">
        <v>55</v>
      </c>
      <c r="F64" s="94" t="s">
        <v>742</v>
      </c>
      <c r="G64" s="95">
        <v>1</v>
      </c>
      <c r="H64" s="95">
        <v>0</v>
      </c>
      <c r="I64" s="95">
        <v>1</v>
      </c>
      <c r="J64" s="94" t="s">
        <v>688</v>
      </c>
      <c r="K64" s="95">
        <v>0</v>
      </c>
      <c r="L64" s="94" t="s">
        <v>568</v>
      </c>
      <c r="M64" s="76" t="s">
        <v>675</v>
      </c>
      <c r="N64" s="76" t="s">
        <v>722</v>
      </c>
      <c r="O64" s="76" t="s">
        <v>687</v>
      </c>
    </row>
    <row r="65" spans="1:15" ht="30" hidden="1" customHeight="1" x14ac:dyDescent="0.25">
      <c r="A65" s="76" t="s">
        <v>719</v>
      </c>
      <c r="B65" s="76" t="s">
        <v>97</v>
      </c>
      <c r="C65" s="79" t="s">
        <v>70</v>
      </c>
      <c r="D65" s="80" t="s">
        <v>66</v>
      </c>
      <c r="E65" s="76" t="s">
        <v>54</v>
      </c>
      <c r="F65" s="94" t="s">
        <v>744</v>
      </c>
      <c r="G65" s="95">
        <v>0</v>
      </c>
      <c r="H65" s="95">
        <v>1</v>
      </c>
      <c r="I65" s="95">
        <v>0</v>
      </c>
      <c r="J65" s="94" t="s">
        <v>568</v>
      </c>
      <c r="K65" s="95">
        <v>0</v>
      </c>
      <c r="L65" s="94" t="s">
        <v>568</v>
      </c>
      <c r="M65" s="94" t="s">
        <v>568</v>
      </c>
      <c r="N65" s="76" t="s">
        <v>722</v>
      </c>
      <c r="O65" s="76" t="s">
        <v>697</v>
      </c>
    </row>
    <row r="66" spans="1:15" ht="30" hidden="1" customHeight="1" thickBot="1" x14ac:dyDescent="0.3">
      <c r="A66" s="84" t="s">
        <v>719</v>
      </c>
      <c r="B66" s="84" t="s">
        <v>98</v>
      </c>
      <c r="C66" s="85" t="s">
        <v>406</v>
      </c>
      <c r="D66" s="133" t="s">
        <v>739</v>
      </c>
      <c r="E66" s="84" t="s">
        <v>55</v>
      </c>
      <c r="F66" s="96" t="s">
        <v>745</v>
      </c>
      <c r="G66" s="97">
        <v>0</v>
      </c>
      <c r="H66" s="97">
        <v>0</v>
      </c>
      <c r="I66" s="97">
        <v>0</v>
      </c>
      <c r="J66" s="96" t="s">
        <v>568</v>
      </c>
      <c r="K66" s="97">
        <v>0</v>
      </c>
      <c r="L66" s="96" t="s">
        <v>568</v>
      </c>
      <c r="M66" s="96" t="s">
        <v>568</v>
      </c>
      <c r="N66" s="84" t="s">
        <v>722</v>
      </c>
      <c r="O66" s="84" t="s">
        <v>251</v>
      </c>
    </row>
    <row r="67" spans="1:15" ht="30" hidden="1" customHeight="1" x14ac:dyDescent="0.25">
      <c r="A67" s="76" t="s">
        <v>720</v>
      </c>
      <c r="B67" s="76" t="s">
        <v>91</v>
      </c>
      <c r="C67" s="79" t="s">
        <v>82</v>
      </c>
      <c r="D67" s="80" t="s">
        <v>86</v>
      </c>
      <c r="E67" s="76" t="s">
        <v>55</v>
      </c>
      <c r="F67" s="94" t="s">
        <v>721</v>
      </c>
      <c r="G67" s="95">
        <v>0</v>
      </c>
      <c r="H67" s="95">
        <v>0</v>
      </c>
      <c r="I67" s="95">
        <v>0</v>
      </c>
      <c r="J67" s="94" t="s">
        <v>568</v>
      </c>
      <c r="K67" s="95">
        <v>0</v>
      </c>
      <c r="L67" s="94" t="s">
        <v>568</v>
      </c>
      <c r="M67" s="94" t="s">
        <v>568</v>
      </c>
      <c r="N67" s="76" t="s">
        <v>722</v>
      </c>
      <c r="O67" s="76" t="s">
        <v>701</v>
      </c>
    </row>
    <row r="68" spans="1:15" ht="30" hidden="1" customHeight="1" x14ac:dyDescent="0.25">
      <c r="A68" s="76" t="s">
        <v>720</v>
      </c>
      <c r="B68" s="76" t="s">
        <v>92</v>
      </c>
      <c r="C68" s="79" t="s">
        <v>58</v>
      </c>
      <c r="D68" s="80" t="s">
        <v>66</v>
      </c>
      <c r="E68" s="76" t="s">
        <v>54</v>
      </c>
      <c r="F68" s="94" t="s">
        <v>724</v>
      </c>
      <c r="G68" s="95">
        <v>2</v>
      </c>
      <c r="H68" s="95">
        <v>0</v>
      </c>
      <c r="I68" s="95">
        <v>0</v>
      </c>
      <c r="J68" s="94" t="s">
        <v>568</v>
      </c>
      <c r="K68" s="95">
        <v>0</v>
      </c>
      <c r="L68" s="94" t="s">
        <v>568</v>
      </c>
      <c r="M68" s="94" t="s">
        <v>725</v>
      </c>
      <c r="N68" s="76" t="s">
        <v>722</v>
      </c>
      <c r="O68" s="76" t="s">
        <v>723</v>
      </c>
    </row>
    <row r="69" spans="1:15" ht="30" hidden="1" customHeight="1" x14ac:dyDescent="0.25">
      <c r="A69" s="76" t="s">
        <v>720</v>
      </c>
      <c r="B69" s="76" t="s">
        <v>93</v>
      </c>
      <c r="C69" s="82" t="s">
        <v>79</v>
      </c>
      <c r="D69" s="81" t="s">
        <v>59</v>
      </c>
      <c r="E69" s="76" t="s">
        <v>55</v>
      </c>
      <c r="F69" s="94" t="s">
        <v>726</v>
      </c>
      <c r="G69" s="95">
        <v>0</v>
      </c>
      <c r="H69" s="95">
        <v>0</v>
      </c>
      <c r="I69" s="95">
        <v>0</v>
      </c>
      <c r="J69" s="94" t="s">
        <v>568</v>
      </c>
      <c r="K69" s="95">
        <v>0</v>
      </c>
      <c r="L69" s="94" t="s">
        <v>568</v>
      </c>
      <c r="M69" s="94" t="s">
        <v>568</v>
      </c>
      <c r="N69" s="76" t="s">
        <v>722</v>
      </c>
      <c r="O69" s="76" t="s">
        <v>697</v>
      </c>
    </row>
    <row r="70" spans="1:15" ht="30" hidden="1" customHeight="1" x14ac:dyDescent="0.25">
      <c r="A70" s="76" t="s">
        <v>720</v>
      </c>
      <c r="B70" s="76" t="s">
        <v>94</v>
      </c>
      <c r="C70" s="79" t="s">
        <v>131</v>
      </c>
      <c r="D70" s="81" t="s">
        <v>161</v>
      </c>
      <c r="E70" s="76" t="s">
        <v>54</v>
      </c>
      <c r="F70" s="94" t="s">
        <v>726</v>
      </c>
      <c r="G70" s="95">
        <v>0</v>
      </c>
      <c r="H70" s="95">
        <v>0</v>
      </c>
      <c r="I70" s="95">
        <v>0</v>
      </c>
      <c r="J70" s="94" t="s">
        <v>568</v>
      </c>
      <c r="K70" s="95">
        <v>1</v>
      </c>
      <c r="L70" s="94" t="s">
        <v>577</v>
      </c>
      <c r="M70" s="94" t="s">
        <v>568</v>
      </c>
      <c r="N70" s="76" t="s">
        <v>722</v>
      </c>
      <c r="O70" s="76" t="s">
        <v>426</v>
      </c>
    </row>
    <row r="71" spans="1:15" ht="30" hidden="1" customHeight="1" thickBot="1" x14ac:dyDescent="0.3">
      <c r="A71" s="84" t="s">
        <v>720</v>
      </c>
      <c r="B71" s="84" t="s">
        <v>95</v>
      </c>
      <c r="C71" s="88" t="s">
        <v>70</v>
      </c>
      <c r="D71" s="90" t="s">
        <v>53</v>
      </c>
      <c r="E71" s="84" t="s">
        <v>55</v>
      </c>
      <c r="F71" s="96" t="s">
        <v>568</v>
      </c>
      <c r="G71" s="97">
        <v>0</v>
      </c>
      <c r="H71" s="97">
        <v>1</v>
      </c>
      <c r="I71" s="97">
        <v>0</v>
      </c>
      <c r="J71" s="96" t="s">
        <v>568</v>
      </c>
      <c r="K71" s="97">
        <v>0</v>
      </c>
      <c r="L71" s="96" t="s">
        <v>568</v>
      </c>
      <c r="M71" s="96" t="s">
        <v>568</v>
      </c>
      <c r="N71" s="84" t="s">
        <v>722</v>
      </c>
      <c r="O71" s="84" t="s">
        <v>259</v>
      </c>
    </row>
    <row r="72" spans="1:15" ht="30" hidden="1" customHeight="1" x14ac:dyDescent="0.25">
      <c r="A72" s="76" t="s">
        <v>618</v>
      </c>
      <c r="B72" s="76" t="s">
        <v>91</v>
      </c>
      <c r="C72" s="79" t="s">
        <v>78</v>
      </c>
      <c r="D72" s="81" t="s">
        <v>68</v>
      </c>
      <c r="E72" s="76" t="s">
        <v>54</v>
      </c>
      <c r="F72" s="94" t="s">
        <v>568</v>
      </c>
      <c r="G72" s="95">
        <v>0</v>
      </c>
      <c r="H72" s="95">
        <v>0</v>
      </c>
      <c r="I72" s="95">
        <v>0</v>
      </c>
      <c r="J72" s="94" t="s">
        <v>568</v>
      </c>
      <c r="K72" s="95">
        <v>0</v>
      </c>
      <c r="L72" s="94" t="s">
        <v>568</v>
      </c>
      <c r="M72" s="94" t="s">
        <v>568</v>
      </c>
      <c r="N72" s="76" t="s">
        <v>414</v>
      </c>
      <c r="O72" s="76" t="s">
        <v>426</v>
      </c>
    </row>
    <row r="73" spans="1:15" ht="30" hidden="1" customHeight="1" x14ac:dyDescent="0.25">
      <c r="A73" s="76" t="s">
        <v>618</v>
      </c>
      <c r="B73" s="76" t="s">
        <v>92</v>
      </c>
      <c r="C73" s="79" t="s">
        <v>58</v>
      </c>
      <c r="D73" s="80" t="s">
        <v>66</v>
      </c>
      <c r="E73" s="76" t="s">
        <v>55</v>
      </c>
      <c r="F73" s="94" t="s">
        <v>675</v>
      </c>
      <c r="G73" s="95">
        <v>0</v>
      </c>
      <c r="H73" s="95">
        <v>0</v>
      </c>
      <c r="I73" s="95">
        <v>1</v>
      </c>
      <c r="J73" s="94" t="s">
        <v>688</v>
      </c>
      <c r="K73" s="95">
        <v>1</v>
      </c>
      <c r="L73" s="94" t="s">
        <v>577</v>
      </c>
      <c r="M73" s="94" t="s">
        <v>568</v>
      </c>
      <c r="N73" s="76" t="s">
        <v>414</v>
      </c>
      <c r="O73" s="76" t="s">
        <v>697</v>
      </c>
    </row>
    <row r="74" spans="1:15" ht="30" hidden="1" customHeight="1" x14ac:dyDescent="0.25">
      <c r="A74" s="76" t="s">
        <v>618</v>
      </c>
      <c r="B74" s="76" t="s">
        <v>93</v>
      </c>
      <c r="C74" s="82" t="s">
        <v>76</v>
      </c>
      <c r="D74" s="78" t="s">
        <v>56</v>
      </c>
      <c r="E74" s="76" t="s">
        <v>54</v>
      </c>
      <c r="F74" s="94" t="s">
        <v>672</v>
      </c>
      <c r="G74" s="95">
        <v>0</v>
      </c>
      <c r="H74" s="95">
        <v>0</v>
      </c>
      <c r="I74" s="95">
        <v>0</v>
      </c>
      <c r="J74" s="94" t="s">
        <v>568</v>
      </c>
      <c r="K74" s="95">
        <v>0</v>
      </c>
      <c r="L74" s="94" t="s">
        <v>568</v>
      </c>
      <c r="M74" s="94" t="s">
        <v>568</v>
      </c>
      <c r="N74" s="76" t="s">
        <v>414</v>
      </c>
      <c r="O74" s="76" t="s">
        <v>281</v>
      </c>
    </row>
    <row r="75" spans="1:15" ht="30" hidden="1" customHeight="1" x14ac:dyDescent="0.25">
      <c r="A75" s="76" t="s">
        <v>618</v>
      </c>
      <c r="B75" s="76" t="s">
        <v>94</v>
      </c>
      <c r="C75" s="79" t="s">
        <v>406</v>
      </c>
      <c r="D75" s="80" t="s">
        <v>620</v>
      </c>
      <c r="E75" s="76" t="s">
        <v>55</v>
      </c>
      <c r="F75" s="94" t="s">
        <v>673</v>
      </c>
      <c r="G75" s="95">
        <v>0</v>
      </c>
      <c r="H75" s="95">
        <v>0</v>
      </c>
      <c r="I75" s="95">
        <v>0</v>
      </c>
      <c r="J75" s="94" t="s">
        <v>568</v>
      </c>
      <c r="K75" s="95">
        <v>0</v>
      </c>
      <c r="L75" s="94" t="s">
        <v>568</v>
      </c>
      <c r="M75" s="94" t="s">
        <v>568</v>
      </c>
      <c r="N75" s="76" t="s">
        <v>414</v>
      </c>
      <c r="O75" s="76" t="s">
        <v>288</v>
      </c>
    </row>
    <row r="76" spans="1:15" ht="30" hidden="1" customHeight="1" x14ac:dyDescent="0.25">
      <c r="A76" s="76" t="s">
        <v>618</v>
      </c>
      <c r="B76" s="76" t="s">
        <v>95</v>
      </c>
      <c r="C76" s="82" t="s">
        <v>131</v>
      </c>
      <c r="D76" s="81" t="s">
        <v>161</v>
      </c>
      <c r="E76" s="76" t="s">
        <v>54</v>
      </c>
      <c r="F76" s="94" t="s">
        <v>681</v>
      </c>
      <c r="G76" s="95">
        <v>0</v>
      </c>
      <c r="H76" s="95">
        <v>0</v>
      </c>
      <c r="I76" s="95">
        <v>0</v>
      </c>
      <c r="J76" s="94" t="s">
        <v>568</v>
      </c>
      <c r="K76" s="95">
        <v>1</v>
      </c>
      <c r="L76" s="94" t="s">
        <v>577</v>
      </c>
      <c r="M76" s="94" t="s">
        <v>568</v>
      </c>
      <c r="N76" s="76" t="s">
        <v>414</v>
      </c>
      <c r="O76" s="76" t="s">
        <v>272</v>
      </c>
    </row>
    <row r="77" spans="1:15" ht="30" hidden="1" customHeight="1" x14ac:dyDescent="0.25">
      <c r="A77" s="76" t="s">
        <v>618</v>
      </c>
      <c r="B77" s="76" t="s">
        <v>96</v>
      </c>
      <c r="C77" s="79" t="s">
        <v>621</v>
      </c>
      <c r="D77" s="81" t="s">
        <v>59</v>
      </c>
      <c r="E77" s="76" t="s">
        <v>55</v>
      </c>
      <c r="F77" s="94" t="s">
        <v>675</v>
      </c>
      <c r="G77" s="95">
        <v>1</v>
      </c>
      <c r="H77" s="95">
        <v>0</v>
      </c>
      <c r="I77" s="95">
        <v>1</v>
      </c>
      <c r="J77" s="94" t="s">
        <v>688</v>
      </c>
      <c r="K77" s="95">
        <v>1</v>
      </c>
      <c r="L77" s="94" t="s">
        <v>577</v>
      </c>
      <c r="M77" s="76" t="s">
        <v>698</v>
      </c>
      <c r="N77" s="76" t="s">
        <v>414</v>
      </c>
      <c r="O77" s="76" t="s">
        <v>699</v>
      </c>
    </row>
    <row r="78" spans="1:15" ht="30" hidden="1" customHeight="1" x14ac:dyDescent="0.25">
      <c r="A78" s="76" t="s">
        <v>618</v>
      </c>
      <c r="B78" s="76" t="s">
        <v>100</v>
      </c>
      <c r="C78" s="82" t="s">
        <v>77</v>
      </c>
      <c r="D78" s="81" t="s">
        <v>161</v>
      </c>
      <c r="E78" s="76" t="s">
        <v>54</v>
      </c>
      <c r="F78" s="94" t="s">
        <v>675</v>
      </c>
      <c r="G78" s="95">
        <v>1</v>
      </c>
      <c r="H78" s="95">
        <v>0</v>
      </c>
      <c r="I78" s="95">
        <v>0</v>
      </c>
      <c r="J78" s="94" t="s">
        <v>568</v>
      </c>
      <c r="K78" s="95">
        <v>0</v>
      </c>
      <c r="L78" s="94" t="s">
        <v>568</v>
      </c>
      <c r="M78" s="76" t="s">
        <v>676</v>
      </c>
      <c r="N78" s="76" t="s">
        <v>414</v>
      </c>
      <c r="O78" s="76" t="s">
        <v>686</v>
      </c>
    </row>
    <row r="79" spans="1:15" ht="30" hidden="1" customHeight="1" x14ac:dyDescent="0.25">
      <c r="A79" s="76" t="s">
        <v>618</v>
      </c>
      <c r="B79" s="76" t="s">
        <v>97</v>
      </c>
      <c r="C79" s="79" t="s">
        <v>72</v>
      </c>
      <c r="D79" s="81" t="s">
        <v>84</v>
      </c>
      <c r="E79" s="76" t="s">
        <v>55</v>
      </c>
      <c r="F79" s="94" t="s">
        <v>568</v>
      </c>
      <c r="G79" s="95">
        <v>1</v>
      </c>
      <c r="H79" s="95">
        <v>0</v>
      </c>
      <c r="I79" s="95">
        <v>0</v>
      </c>
      <c r="J79" s="94" t="s">
        <v>568</v>
      </c>
      <c r="K79" s="95">
        <v>0</v>
      </c>
      <c r="L79" s="94" t="s">
        <v>568</v>
      </c>
      <c r="M79" s="76" t="s">
        <v>680</v>
      </c>
      <c r="N79" s="76" t="s">
        <v>414</v>
      </c>
      <c r="O79" s="76" t="s">
        <v>432</v>
      </c>
    </row>
    <row r="80" spans="1:15" ht="30" hidden="1" customHeight="1" x14ac:dyDescent="0.25">
      <c r="A80" s="76" t="s">
        <v>618</v>
      </c>
      <c r="B80" s="76" t="s">
        <v>98</v>
      </c>
      <c r="C80" s="79" t="s">
        <v>83</v>
      </c>
      <c r="D80" s="81" t="s">
        <v>59</v>
      </c>
      <c r="E80" s="76" t="s">
        <v>54</v>
      </c>
      <c r="F80" s="94" t="s">
        <v>681</v>
      </c>
      <c r="G80" s="95">
        <v>0</v>
      </c>
      <c r="H80" s="95">
        <v>0</v>
      </c>
      <c r="I80" s="95">
        <v>0</v>
      </c>
      <c r="J80" s="94" t="s">
        <v>568</v>
      </c>
      <c r="K80" s="95">
        <v>0</v>
      </c>
      <c r="L80" s="94" t="s">
        <v>568</v>
      </c>
      <c r="M80" s="94" t="s">
        <v>568</v>
      </c>
      <c r="N80" s="76" t="s">
        <v>414</v>
      </c>
      <c r="O80" s="76" t="s">
        <v>259</v>
      </c>
    </row>
    <row r="81" spans="1:15" ht="30" hidden="1" customHeight="1" x14ac:dyDescent="0.25">
      <c r="A81" s="76" t="s">
        <v>618</v>
      </c>
      <c r="B81" s="76" t="s">
        <v>99</v>
      </c>
      <c r="C81" s="82" t="s">
        <v>80</v>
      </c>
      <c r="D81" s="78" t="s">
        <v>61</v>
      </c>
      <c r="E81" s="76" t="s">
        <v>55</v>
      </c>
      <c r="F81" s="94" t="s">
        <v>973</v>
      </c>
      <c r="G81" s="95">
        <v>1</v>
      </c>
      <c r="H81" s="95">
        <v>1</v>
      </c>
      <c r="I81" s="95">
        <v>0</v>
      </c>
      <c r="J81" s="94" t="s">
        <v>568</v>
      </c>
      <c r="K81" s="95">
        <v>0</v>
      </c>
      <c r="L81" s="94" t="s">
        <v>568</v>
      </c>
      <c r="M81" s="76" t="s">
        <v>683</v>
      </c>
      <c r="N81" s="76" t="s">
        <v>414</v>
      </c>
      <c r="O81" s="76" t="s">
        <v>272</v>
      </c>
    </row>
    <row r="82" spans="1:15" ht="30" hidden="1" customHeight="1" x14ac:dyDescent="0.25">
      <c r="A82" s="76" t="s">
        <v>618</v>
      </c>
      <c r="B82" s="76" t="s">
        <v>101</v>
      </c>
      <c r="C82" s="79" t="s">
        <v>62</v>
      </c>
      <c r="D82" s="81" t="s">
        <v>68</v>
      </c>
      <c r="E82" s="76" t="s">
        <v>54</v>
      </c>
      <c r="F82" s="94" t="s">
        <v>568</v>
      </c>
      <c r="G82" s="95">
        <v>0</v>
      </c>
      <c r="H82" s="95">
        <v>0</v>
      </c>
      <c r="I82" s="95">
        <v>0</v>
      </c>
      <c r="J82" s="94" t="s">
        <v>568</v>
      </c>
      <c r="K82" s="95">
        <v>0</v>
      </c>
      <c r="L82" s="94" t="s">
        <v>568</v>
      </c>
      <c r="M82" s="94" t="s">
        <v>568</v>
      </c>
      <c r="N82" s="76" t="s">
        <v>414</v>
      </c>
      <c r="O82" s="76" t="s">
        <v>426</v>
      </c>
    </row>
    <row r="83" spans="1:15" ht="30" hidden="1" customHeight="1" x14ac:dyDescent="0.25">
      <c r="A83" s="76" t="s">
        <v>618</v>
      </c>
      <c r="B83" s="76" t="s">
        <v>102</v>
      </c>
      <c r="C83" s="79" t="s">
        <v>73</v>
      </c>
      <c r="D83" s="80" t="s">
        <v>66</v>
      </c>
      <c r="E83" s="76" t="s">
        <v>55</v>
      </c>
      <c r="F83" s="94" t="s">
        <v>681</v>
      </c>
      <c r="G83" s="95">
        <v>0</v>
      </c>
      <c r="H83" s="95">
        <v>1</v>
      </c>
      <c r="I83" s="95">
        <v>0</v>
      </c>
      <c r="J83" s="94" t="s">
        <v>568</v>
      </c>
      <c r="K83" s="95">
        <v>0</v>
      </c>
      <c r="L83" s="94" t="s">
        <v>568</v>
      </c>
      <c r="M83" s="94" t="s">
        <v>568</v>
      </c>
      <c r="N83" s="76" t="s">
        <v>414</v>
      </c>
      <c r="O83" s="76" t="s">
        <v>260</v>
      </c>
    </row>
    <row r="84" spans="1:15" ht="30" hidden="1" customHeight="1" x14ac:dyDescent="0.25">
      <c r="A84" s="76" t="s">
        <v>618</v>
      </c>
      <c r="B84" s="76" t="s">
        <v>103</v>
      </c>
      <c r="C84" s="79" t="s">
        <v>57</v>
      </c>
      <c r="D84" s="81" t="s">
        <v>84</v>
      </c>
      <c r="E84" s="76" t="s">
        <v>54</v>
      </c>
      <c r="F84" s="94" t="s">
        <v>568</v>
      </c>
      <c r="G84" s="95">
        <v>0</v>
      </c>
      <c r="H84" s="95">
        <v>0</v>
      </c>
      <c r="I84" s="95">
        <v>0</v>
      </c>
      <c r="J84" s="94" t="s">
        <v>568</v>
      </c>
      <c r="K84" s="95">
        <v>0</v>
      </c>
      <c r="L84" s="94" t="s">
        <v>568</v>
      </c>
      <c r="M84" s="94" t="s">
        <v>568</v>
      </c>
      <c r="N84" s="76" t="s">
        <v>414</v>
      </c>
      <c r="O84" s="76" t="s">
        <v>277</v>
      </c>
    </row>
    <row r="85" spans="1:15" ht="30" hidden="1" customHeight="1" x14ac:dyDescent="0.25">
      <c r="A85" s="76" t="s">
        <v>618</v>
      </c>
      <c r="B85" s="76" t="s">
        <v>104</v>
      </c>
      <c r="C85" s="82" t="s">
        <v>71</v>
      </c>
      <c r="D85" s="80" t="s">
        <v>53</v>
      </c>
      <c r="E85" s="76" t="s">
        <v>55</v>
      </c>
      <c r="F85" s="94" t="s">
        <v>568</v>
      </c>
      <c r="G85" s="95">
        <v>0</v>
      </c>
      <c r="H85" s="95">
        <v>0</v>
      </c>
      <c r="I85" s="95">
        <v>0</v>
      </c>
      <c r="J85" s="94" t="s">
        <v>568</v>
      </c>
      <c r="K85" s="95">
        <v>0</v>
      </c>
      <c r="L85" s="94" t="s">
        <v>568</v>
      </c>
      <c r="M85" s="94" t="s">
        <v>568</v>
      </c>
      <c r="N85" s="76" t="s">
        <v>414</v>
      </c>
      <c r="O85" s="76" t="s">
        <v>259</v>
      </c>
    </row>
    <row r="86" spans="1:15" ht="30" hidden="1" customHeight="1" x14ac:dyDescent="0.25">
      <c r="A86" s="76" t="s">
        <v>618</v>
      </c>
      <c r="B86" s="76" t="s">
        <v>105</v>
      </c>
      <c r="C86" s="79" t="s">
        <v>130</v>
      </c>
      <c r="D86" s="80" t="s">
        <v>53</v>
      </c>
      <c r="E86" s="76" t="s">
        <v>54</v>
      </c>
      <c r="F86" s="94" t="s">
        <v>568</v>
      </c>
      <c r="G86" s="95">
        <v>0</v>
      </c>
      <c r="H86" s="95">
        <v>0</v>
      </c>
      <c r="I86" s="95">
        <v>0</v>
      </c>
      <c r="J86" s="94" t="s">
        <v>568</v>
      </c>
      <c r="K86" s="95">
        <v>0</v>
      </c>
      <c r="L86" s="94" t="s">
        <v>568</v>
      </c>
      <c r="M86" s="94" t="s">
        <v>568</v>
      </c>
      <c r="N86" s="76" t="s">
        <v>414</v>
      </c>
      <c r="O86" s="76" t="s">
        <v>686</v>
      </c>
    </row>
    <row r="87" spans="1:15" ht="30" hidden="1" customHeight="1" x14ac:dyDescent="0.25">
      <c r="A87" s="76" t="s">
        <v>618</v>
      </c>
      <c r="B87" s="76" t="s">
        <v>106</v>
      </c>
      <c r="C87" s="82" t="s">
        <v>70</v>
      </c>
      <c r="D87" s="78" t="s">
        <v>622</v>
      </c>
      <c r="E87" s="76" t="s">
        <v>55</v>
      </c>
      <c r="F87" s="94" t="s">
        <v>974</v>
      </c>
      <c r="G87" s="95">
        <v>0</v>
      </c>
      <c r="H87" s="95">
        <v>2</v>
      </c>
      <c r="I87" s="95">
        <v>0</v>
      </c>
      <c r="J87" s="94" t="s">
        <v>568</v>
      </c>
      <c r="K87" s="95">
        <v>0</v>
      </c>
      <c r="L87" s="94" t="s">
        <v>568</v>
      </c>
      <c r="M87" s="94" t="s">
        <v>568</v>
      </c>
      <c r="N87" s="76" t="s">
        <v>414</v>
      </c>
      <c r="O87" s="76" t="s">
        <v>281</v>
      </c>
    </row>
    <row r="88" spans="1:15" ht="30" hidden="1" customHeight="1" x14ac:dyDescent="0.25">
      <c r="A88" s="76" t="s">
        <v>618</v>
      </c>
      <c r="B88" s="76" t="s">
        <v>107</v>
      </c>
      <c r="C88" s="82" t="s">
        <v>79</v>
      </c>
      <c r="D88" s="78" t="s">
        <v>623</v>
      </c>
      <c r="E88" s="76" t="s">
        <v>54</v>
      </c>
      <c r="F88" s="94" t="s">
        <v>975</v>
      </c>
      <c r="G88" s="95">
        <v>0</v>
      </c>
      <c r="H88" s="95">
        <v>0</v>
      </c>
      <c r="I88" s="95">
        <v>0</v>
      </c>
      <c r="J88" s="94" t="s">
        <v>568</v>
      </c>
      <c r="K88" s="95">
        <v>0</v>
      </c>
      <c r="L88" s="94" t="s">
        <v>568</v>
      </c>
      <c r="M88" s="94" t="s">
        <v>568</v>
      </c>
      <c r="N88" s="76" t="s">
        <v>414</v>
      </c>
      <c r="O88" s="76" t="s">
        <v>420</v>
      </c>
    </row>
    <row r="89" spans="1:15" ht="30" hidden="1" customHeight="1" thickBot="1" x14ac:dyDescent="0.3">
      <c r="A89" s="84" t="s">
        <v>618</v>
      </c>
      <c r="B89" s="84" t="s">
        <v>108</v>
      </c>
      <c r="C89" s="88" t="s">
        <v>82</v>
      </c>
      <c r="D89" s="89" t="s">
        <v>84</v>
      </c>
      <c r="E89" s="84" t="s">
        <v>55</v>
      </c>
      <c r="F89" s="96" t="s">
        <v>568</v>
      </c>
      <c r="G89" s="97">
        <v>1</v>
      </c>
      <c r="H89" s="97">
        <v>1</v>
      </c>
      <c r="I89" s="97">
        <v>0</v>
      </c>
      <c r="J89" s="96" t="s">
        <v>568</v>
      </c>
      <c r="K89" s="97">
        <v>1</v>
      </c>
      <c r="L89" s="96" t="s">
        <v>577</v>
      </c>
      <c r="M89" s="84" t="s">
        <v>973</v>
      </c>
      <c r="N89" s="84" t="s">
        <v>414</v>
      </c>
      <c r="O89" s="84" t="s">
        <v>687</v>
      </c>
    </row>
    <row r="90" spans="1:15" ht="30" hidden="1" customHeight="1" x14ac:dyDescent="0.25">
      <c r="A90" s="76" t="s">
        <v>619</v>
      </c>
      <c r="B90" s="76" t="s">
        <v>91</v>
      </c>
      <c r="C90" s="79" t="s">
        <v>78</v>
      </c>
      <c r="D90" s="81" t="s">
        <v>84</v>
      </c>
      <c r="E90" s="76" t="s">
        <v>55</v>
      </c>
      <c r="F90" s="94" t="s">
        <v>568</v>
      </c>
      <c r="G90" s="95">
        <v>0</v>
      </c>
      <c r="H90" s="95">
        <v>0</v>
      </c>
      <c r="I90" s="95">
        <v>0</v>
      </c>
      <c r="J90" s="94" t="s">
        <v>568</v>
      </c>
      <c r="K90" s="95">
        <v>0</v>
      </c>
      <c r="L90" s="94" t="s">
        <v>568</v>
      </c>
      <c r="M90" s="94" t="s">
        <v>568</v>
      </c>
      <c r="N90" s="76" t="s">
        <v>414</v>
      </c>
      <c r="O90" s="76" t="s">
        <v>250</v>
      </c>
    </row>
    <row r="91" spans="1:15" ht="30" hidden="1" customHeight="1" x14ac:dyDescent="0.25">
      <c r="A91" s="76" t="s">
        <v>619</v>
      </c>
      <c r="B91" s="76" t="s">
        <v>92</v>
      </c>
      <c r="C91" s="79" t="s">
        <v>58</v>
      </c>
      <c r="D91" s="80" t="s">
        <v>620</v>
      </c>
      <c r="E91" s="76" t="s">
        <v>54</v>
      </c>
      <c r="F91" s="94" t="s">
        <v>976</v>
      </c>
      <c r="G91" s="95">
        <v>1</v>
      </c>
      <c r="H91" s="95">
        <v>0</v>
      </c>
      <c r="I91" s="95">
        <v>1</v>
      </c>
      <c r="J91" s="94" t="s">
        <v>688</v>
      </c>
      <c r="K91" s="95">
        <v>0</v>
      </c>
      <c r="L91" s="94" t="s">
        <v>568</v>
      </c>
      <c r="M91" s="76" t="s">
        <v>977</v>
      </c>
      <c r="N91" s="76" t="s">
        <v>414</v>
      </c>
      <c r="O91" s="76" t="s">
        <v>251</v>
      </c>
    </row>
    <row r="92" spans="1:15" ht="30" hidden="1" customHeight="1" x14ac:dyDescent="0.25">
      <c r="A92" s="76" t="s">
        <v>619</v>
      </c>
      <c r="B92" s="76" t="s">
        <v>93</v>
      </c>
      <c r="C92" s="82" t="s">
        <v>76</v>
      </c>
      <c r="D92" s="78" t="s">
        <v>85</v>
      </c>
      <c r="E92" s="76" t="s">
        <v>55</v>
      </c>
      <c r="F92" s="94" t="s">
        <v>978</v>
      </c>
      <c r="G92" s="95">
        <v>0</v>
      </c>
      <c r="H92" s="95">
        <v>1</v>
      </c>
      <c r="I92" s="95">
        <v>0</v>
      </c>
      <c r="J92" s="94" t="s">
        <v>568</v>
      </c>
      <c r="K92" s="95">
        <v>0</v>
      </c>
      <c r="L92" s="94" t="s">
        <v>568</v>
      </c>
      <c r="M92" s="94" t="s">
        <v>568</v>
      </c>
      <c r="N92" s="76" t="s">
        <v>414</v>
      </c>
      <c r="O92" s="76" t="s">
        <v>420</v>
      </c>
    </row>
    <row r="93" spans="1:15" ht="30" hidden="1" customHeight="1" x14ac:dyDescent="0.25">
      <c r="A93" s="76" t="s">
        <v>619</v>
      </c>
      <c r="B93" s="76" t="s">
        <v>94</v>
      </c>
      <c r="C93" s="79" t="s">
        <v>406</v>
      </c>
      <c r="D93" s="81" t="s">
        <v>59</v>
      </c>
      <c r="E93" s="76" t="s">
        <v>54</v>
      </c>
      <c r="F93" s="94" t="s">
        <v>205</v>
      </c>
      <c r="G93" s="95">
        <v>1</v>
      </c>
      <c r="H93" s="95">
        <v>0</v>
      </c>
      <c r="I93" s="95">
        <v>0</v>
      </c>
      <c r="J93" s="94" t="s">
        <v>568</v>
      </c>
      <c r="K93" s="95">
        <v>0</v>
      </c>
      <c r="L93" s="94" t="s">
        <v>568</v>
      </c>
      <c r="M93" s="76" t="s">
        <v>973</v>
      </c>
      <c r="N93" s="76" t="s">
        <v>414</v>
      </c>
      <c r="O93" s="76" t="s">
        <v>260</v>
      </c>
    </row>
    <row r="94" spans="1:15" ht="30" hidden="1" customHeight="1" x14ac:dyDescent="0.25">
      <c r="A94" s="76" t="s">
        <v>619</v>
      </c>
      <c r="B94" s="76" t="s">
        <v>95</v>
      </c>
      <c r="C94" s="82" t="s">
        <v>131</v>
      </c>
      <c r="D94" s="80" t="s">
        <v>66</v>
      </c>
      <c r="E94" s="76" t="s">
        <v>55</v>
      </c>
      <c r="F94" s="94" t="s">
        <v>429</v>
      </c>
      <c r="G94" s="95">
        <v>0</v>
      </c>
      <c r="H94" s="95">
        <v>0</v>
      </c>
      <c r="I94" s="95">
        <v>0</v>
      </c>
      <c r="J94" s="94" t="s">
        <v>568</v>
      </c>
      <c r="K94" s="95">
        <v>0</v>
      </c>
      <c r="L94" s="94" t="s">
        <v>568</v>
      </c>
      <c r="M94" s="94" t="s">
        <v>568</v>
      </c>
      <c r="N94" s="76" t="s">
        <v>414</v>
      </c>
      <c r="O94" s="76" t="s">
        <v>259</v>
      </c>
    </row>
    <row r="95" spans="1:15" ht="30" hidden="1" customHeight="1" x14ac:dyDescent="0.25">
      <c r="A95" s="76" t="s">
        <v>619</v>
      </c>
      <c r="B95" s="76" t="s">
        <v>96</v>
      </c>
      <c r="C95" s="79" t="s">
        <v>621</v>
      </c>
      <c r="D95" s="81" t="s">
        <v>84</v>
      </c>
      <c r="E95" s="76" t="s">
        <v>54</v>
      </c>
      <c r="F95" s="94" t="s">
        <v>568</v>
      </c>
      <c r="G95" s="95">
        <v>0</v>
      </c>
      <c r="H95" s="95">
        <v>0</v>
      </c>
      <c r="I95" s="95">
        <v>0</v>
      </c>
      <c r="J95" s="94" t="s">
        <v>568</v>
      </c>
      <c r="K95" s="95">
        <v>0</v>
      </c>
      <c r="L95" s="94" t="s">
        <v>568</v>
      </c>
      <c r="M95" s="94" t="s">
        <v>568</v>
      </c>
      <c r="N95" s="76" t="s">
        <v>414</v>
      </c>
      <c r="O95" s="76" t="s">
        <v>422</v>
      </c>
    </row>
    <row r="96" spans="1:15" ht="30" hidden="1" customHeight="1" x14ac:dyDescent="0.25">
      <c r="A96" s="76" t="s">
        <v>619</v>
      </c>
      <c r="B96" s="76" t="s">
        <v>100</v>
      </c>
      <c r="C96" s="82" t="s">
        <v>77</v>
      </c>
      <c r="D96" s="81" t="s">
        <v>65</v>
      </c>
      <c r="E96" s="76" t="s">
        <v>55</v>
      </c>
      <c r="F96" s="94" t="s">
        <v>979</v>
      </c>
      <c r="G96" s="95">
        <v>0</v>
      </c>
      <c r="H96" s="95">
        <v>0</v>
      </c>
      <c r="I96" s="95">
        <v>0</v>
      </c>
      <c r="J96" s="94" t="s">
        <v>568</v>
      </c>
      <c r="K96" s="95">
        <v>0</v>
      </c>
      <c r="L96" s="94" t="s">
        <v>568</v>
      </c>
      <c r="M96" s="94" t="s">
        <v>568</v>
      </c>
      <c r="N96" s="76" t="s">
        <v>414</v>
      </c>
      <c r="O96" s="76" t="s">
        <v>686</v>
      </c>
    </row>
    <row r="97" spans="1:15" ht="30" hidden="1" customHeight="1" x14ac:dyDescent="0.25">
      <c r="A97" s="76" t="s">
        <v>619</v>
      </c>
      <c r="B97" s="76" t="s">
        <v>97</v>
      </c>
      <c r="C97" s="79" t="s">
        <v>72</v>
      </c>
      <c r="D97" s="78" t="s">
        <v>61</v>
      </c>
      <c r="E97" s="76" t="s">
        <v>54</v>
      </c>
      <c r="F97" s="94" t="s">
        <v>675</v>
      </c>
      <c r="G97" s="95">
        <v>0</v>
      </c>
      <c r="H97" s="95">
        <v>0</v>
      </c>
      <c r="I97" s="95">
        <v>0</v>
      </c>
      <c r="J97" s="94" t="s">
        <v>568</v>
      </c>
      <c r="K97" s="95">
        <v>0</v>
      </c>
      <c r="L97" s="94" t="s">
        <v>568</v>
      </c>
      <c r="M97" s="94" t="s">
        <v>568</v>
      </c>
      <c r="N97" s="76" t="s">
        <v>414</v>
      </c>
      <c r="O97" s="76" t="s">
        <v>701</v>
      </c>
    </row>
    <row r="98" spans="1:15" ht="30" hidden="1" customHeight="1" x14ac:dyDescent="0.25">
      <c r="A98" s="76" t="s">
        <v>619</v>
      </c>
      <c r="B98" s="76" t="s">
        <v>98</v>
      </c>
      <c r="C98" s="79" t="s">
        <v>83</v>
      </c>
      <c r="D98" s="81" t="s">
        <v>60</v>
      </c>
      <c r="E98" s="76" t="s">
        <v>55</v>
      </c>
      <c r="F98" s="94" t="s">
        <v>568</v>
      </c>
      <c r="G98" s="95">
        <v>0</v>
      </c>
      <c r="H98" s="95">
        <v>0</v>
      </c>
      <c r="I98" s="95">
        <v>0</v>
      </c>
      <c r="J98" s="94" t="s">
        <v>568</v>
      </c>
      <c r="K98" s="95">
        <v>0</v>
      </c>
      <c r="L98" s="94" t="s">
        <v>568</v>
      </c>
      <c r="M98" s="94" t="s">
        <v>568</v>
      </c>
      <c r="N98" s="76" t="s">
        <v>414</v>
      </c>
      <c r="O98" s="76" t="s">
        <v>288</v>
      </c>
    </row>
    <row r="99" spans="1:15" ht="30" hidden="1" customHeight="1" x14ac:dyDescent="0.25">
      <c r="A99" s="76" t="s">
        <v>619</v>
      </c>
      <c r="B99" s="76" t="s">
        <v>99</v>
      </c>
      <c r="C99" s="82" t="s">
        <v>80</v>
      </c>
      <c r="D99" s="78" t="s">
        <v>56</v>
      </c>
      <c r="E99" s="76" t="s">
        <v>54</v>
      </c>
      <c r="F99" s="94" t="s">
        <v>980</v>
      </c>
      <c r="G99" s="95">
        <v>0</v>
      </c>
      <c r="H99" s="95">
        <v>1</v>
      </c>
      <c r="I99" s="95">
        <v>0</v>
      </c>
      <c r="J99" s="94" t="s">
        <v>568</v>
      </c>
      <c r="K99" s="95">
        <v>0</v>
      </c>
      <c r="L99" s="94" t="s">
        <v>568</v>
      </c>
      <c r="M99" s="94" t="s">
        <v>568</v>
      </c>
      <c r="N99" s="76" t="s">
        <v>414</v>
      </c>
      <c r="O99" s="76" t="s">
        <v>432</v>
      </c>
    </row>
    <row r="100" spans="1:15" ht="30" hidden="1" customHeight="1" x14ac:dyDescent="0.25">
      <c r="A100" s="76" t="s">
        <v>619</v>
      </c>
      <c r="B100" s="76" t="s">
        <v>101</v>
      </c>
      <c r="C100" s="79" t="s">
        <v>62</v>
      </c>
      <c r="D100" s="80" t="s">
        <v>624</v>
      </c>
      <c r="E100" s="76" t="s">
        <v>55</v>
      </c>
      <c r="F100" s="94" t="s">
        <v>981</v>
      </c>
      <c r="G100" s="95">
        <v>1</v>
      </c>
      <c r="H100" s="95">
        <v>0</v>
      </c>
      <c r="I100" s="95">
        <v>1</v>
      </c>
      <c r="J100" s="94" t="s">
        <v>982</v>
      </c>
      <c r="K100" s="95">
        <v>0</v>
      </c>
      <c r="L100" s="94" t="s">
        <v>568</v>
      </c>
      <c r="M100" s="76" t="s">
        <v>683</v>
      </c>
      <c r="N100" s="76" t="s">
        <v>414</v>
      </c>
      <c r="O100" s="76" t="s">
        <v>420</v>
      </c>
    </row>
    <row r="101" spans="1:15" ht="30" hidden="1" customHeight="1" x14ac:dyDescent="0.25">
      <c r="A101" s="76" t="s">
        <v>619</v>
      </c>
      <c r="B101" s="76" t="s">
        <v>102</v>
      </c>
      <c r="C101" s="79" t="s">
        <v>73</v>
      </c>
      <c r="D101" s="81" t="s">
        <v>60</v>
      </c>
      <c r="E101" s="76" t="s">
        <v>54</v>
      </c>
      <c r="F101" s="94" t="s">
        <v>568</v>
      </c>
      <c r="G101" s="95">
        <v>0</v>
      </c>
      <c r="H101" s="95">
        <v>0</v>
      </c>
      <c r="I101" s="95">
        <v>0</v>
      </c>
      <c r="J101" s="94" t="s">
        <v>568</v>
      </c>
      <c r="K101" s="95">
        <v>1</v>
      </c>
      <c r="L101" s="94" t="s">
        <v>577</v>
      </c>
      <c r="M101" s="94" t="s">
        <v>568</v>
      </c>
      <c r="N101" s="76" t="s">
        <v>414</v>
      </c>
      <c r="O101" s="76" t="s">
        <v>419</v>
      </c>
    </row>
    <row r="102" spans="1:15" ht="30" hidden="1" customHeight="1" x14ac:dyDescent="0.25">
      <c r="A102" s="76" t="s">
        <v>619</v>
      </c>
      <c r="B102" s="76" t="s">
        <v>103</v>
      </c>
      <c r="C102" s="79" t="s">
        <v>57</v>
      </c>
      <c r="D102" s="80" t="s">
        <v>86</v>
      </c>
      <c r="E102" s="76" t="s">
        <v>55</v>
      </c>
      <c r="F102" s="94" t="s">
        <v>983</v>
      </c>
      <c r="G102" s="95">
        <v>0</v>
      </c>
      <c r="H102" s="95">
        <v>0</v>
      </c>
      <c r="I102" s="95">
        <v>0</v>
      </c>
      <c r="J102" s="94" t="s">
        <v>568</v>
      </c>
      <c r="K102" s="95">
        <v>1</v>
      </c>
      <c r="L102" s="94" t="s">
        <v>577</v>
      </c>
      <c r="M102" s="94" t="s">
        <v>568</v>
      </c>
      <c r="N102" s="76" t="s">
        <v>414</v>
      </c>
      <c r="O102" s="76" t="s">
        <v>412</v>
      </c>
    </row>
    <row r="103" spans="1:15" ht="30" hidden="1" customHeight="1" x14ac:dyDescent="0.25">
      <c r="A103" s="76" t="s">
        <v>619</v>
      </c>
      <c r="B103" s="76" t="s">
        <v>104</v>
      </c>
      <c r="C103" s="82" t="s">
        <v>71</v>
      </c>
      <c r="D103" s="80" t="s">
        <v>66</v>
      </c>
      <c r="E103" s="76" t="s">
        <v>54</v>
      </c>
      <c r="F103" s="94" t="s">
        <v>423</v>
      </c>
      <c r="G103" s="95">
        <v>1</v>
      </c>
      <c r="H103" s="95">
        <v>0</v>
      </c>
      <c r="I103" s="95">
        <v>0</v>
      </c>
      <c r="J103" s="94" t="s">
        <v>568</v>
      </c>
      <c r="K103" s="95">
        <v>1</v>
      </c>
      <c r="L103" s="94" t="s">
        <v>577</v>
      </c>
      <c r="M103" s="76" t="s">
        <v>413</v>
      </c>
      <c r="N103" s="76" t="s">
        <v>414</v>
      </c>
      <c r="O103" s="76" t="s">
        <v>281</v>
      </c>
    </row>
    <row r="104" spans="1:15" ht="30" hidden="1" customHeight="1" x14ac:dyDescent="0.25">
      <c r="A104" s="76" t="s">
        <v>619</v>
      </c>
      <c r="B104" s="76" t="s">
        <v>105</v>
      </c>
      <c r="C104" s="79" t="s">
        <v>130</v>
      </c>
      <c r="D104" s="78" t="s">
        <v>623</v>
      </c>
      <c r="E104" s="76" t="s">
        <v>55</v>
      </c>
      <c r="F104" s="94" t="s">
        <v>984</v>
      </c>
      <c r="G104" s="95">
        <v>0</v>
      </c>
      <c r="H104" s="95">
        <v>0</v>
      </c>
      <c r="I104" s="95">
        <v>0</v>
      </c>
      <c r="J104" s="94" t="s">
        <v>568</v>
      </c>
      <c r="K104" s="95">
        <v>0</v>
      </c>
      <c r="L104" s="94" t="s">
        <v>568</v>
      </c>
      <c r="M104" s="94" t="s">
        <v>568</v>
      </c>
      <c r="N104" s="76" t="s">
        <v>414</v>
      </c>
      <c r="O104" s="76" t="s">
        <v>686</v>
      </c>
    </row>
    <row r="105" spans="1:15" ht="30" hidden="1" customHeight="1" x14ac:dyDescent="0.25">
      <c r="A105" s="76" t="s">
        <v>619</v>
      </c>
      <c r="B105" s="76" t="s">
        <v>106</v>
      </c>
      <c r="C105" s="82" t="s">
        <v>70</v>
      </c>
      <c r="D105" s="80" t="s">
        <v>66</v>
      </c>
      <c r="E105" s="76" t="s">
        <v>54</v>
      </c>
      <c r="F105" s="94" t="s">
        <v>417</v>
      </c>
      <c r="G105" s="95">
        <v>1</v>
      </c>
      <c r="H105" s="95">
        <v>0</v>
      </c>
      <c r="I105" s="95">
        <v>0</v>
      </c>
      <c r="J105" s="94" t="s">
        <v>568</v>
      </c>
      <c r="K105" s="95">
        <v>0</v>
      </c>
      <c r="L105" s="94" t="s">
        <v>568</v>
      </c>
      <c r="M105" s="76" t="s">
        <v>413</v>
      </c>
      <c r="N105" s="76" t="s">
        <v>414</v>
      </c>
      <c r="O105" s="76" t="s">
        <v>259</v>
      </c>
    </row>
    <row r="106" spans="1:15" ht="30" hidden="1" customHeight="1" x14ac:dyDescent="0.25">
      <c r="A106" s="76" t="s">
        <v>619</v>
      </c>
      <c r="B106" s="76" t="s">
        <v>107</v>
      </c>
      <c r="C106" s="82" t="s">
        <v>79</v>
      </c>
      <c r="D106" s="81" t="s">
        <v>59</v>
      </c>
      <c r="E106" s="76" t="s">
        <v>55</v>
      </c>
      <c r="F106" s="94" t="s">
        <v>417</v>
      </c>
      <c r="G106" s="95">
        <v>0</v>
      </c>
      <c r="H106" s="95">
        <v>0</v>
      </c>
      <c r="I106" s="95">
        <v>0</v>
      </c>
      <c r="J106" s="94" t="s">
        <v>568</v>
      </c>
      <c r="K106" s="95">
        <v>0</v>
      </c>
      <c r="L106" s="94" t="s">
        <v>568</v>
      </c>
      <c r="M106" s="94" t="s">
        <v>568</v>
      </c>
      <c r="N106" s="76" t="s">
        <v>414</v>
      </c>
      <c r="O106" s="76" t="s">
        <v>412</v>
      </c>
    </row>
    <row r="107" spans="1:15" ht="30" hidden="1" customHeight="1" thickBot="1" x14ac:dyDescent="0.3">
      <c r="A107" s="84" t="s">
        <v>619</v>
      </c>
      <c r="B107" s="84" t="s">
        <v>108</v>
      </c>
      <c r="C107" s="88" t="s">
        <v>82</v>
      </c>
      <c r="D107" s="89" t="s">
        <v>161</v>
      </c>
      <c r="E107" s="84" t="s">
        <v>54</v>
      </c>
      <c r="F107" s="96" t="s">
        <v>417</v>
      </c>
      <c r="G107" s="97">
        <v>0</v>
      </c>
      <c r="H107" s="97">
        <v>0</v>
      </c>
      <c r="I107" s="97">
        <v>0</v>
      </c>
      <c r="J107" s="96" t="s">
        <v>568</v>
      </c>
      <c r="K107" s="97">
        <v>1</v>
      </c>
      <c r="L107" s="96" t="s">
        <v>577</v>
      </c>
      <c r="M107" s="96" t="s">
        <v>568</v>
      </c>
      <c r="N107" s="84" t="s">
        <v>414</v>
      </c>
      <c r="O107" s="84" t="s">
        <v>985</v>
      </c>
    </row>
    <row r="108" spans="1:15" ht="30" hidden="1" customHeight="1" x14ac:dyDescent="0.25">
      <c r="A108" s="76" t="s">
        <v>407</v>
      </c>
      <c r="B108" s="76" t="s">
        <v>91</v>
      </c>
      <c r="C108" s="79" t="s">
        <v>79</v>
      </c>
      <c r="D108" s="78" t="s">
        <v>61</v>
      </c>
      <c r="E108" s="76" t="s">
        <v>55</v>
      </c>
      <c r="F108" s="76" t="s">
        <v>413</v>
      </c>
      <c r="G108" s="95">
        <v>0</v>
      </c>
      <c r="H108" s="95">
        <v>1</v>
      </c>
      <c r="I108" s="95">
        <v>0</v>
      </c>
      <c r="J108" s="94" t="s">
        <v>568</v>
      </c>
      <c r="K108" s="95">
        <v>0</v>
      </c>
      <c r="L108" s="94" t="s">
        <v>568</v>
      </c>
      <c r="M108" s="94" t="s">
        <v>568</v>
      </c>
      <c r="N108" s="76" t="s">
        <v>414</v>
      </c>
      <c r="O108" s="76" t="s">
        <v>432</v>
      </c>
    </row>
    <row r="109" spans="1:15" ht="30" hidden="1" customHeight="1" x14ac:dyDescent="0.25">
      <c r="A109" s="76" t="s">
        <v>407</v>
      </c>
      <c r="B109" s="76" t="s">
        <v>92</v>
      </c>
      <c r="C109" s="79" t="s">
        <v>130</v>
      </c>
      <c r="D109" s="80" t="s">
        <v>86</v>
      </c>
      <c r="E109" s="76" t="s">
        <v>54</v>
      </c>
      <c r="F109" s="76" t="s">
        <v>986</v>
      </c>
      <c r="G109" s="95">
        <v>1</v>
      </c>
      <c r="H109" s="95">
        <v>0</v>
      </c>
      <c r="I109" s="95">
        <v>0</v>
      </c>
      <c r="J109" s="94" t="s">
        <v>568</v>
      </c>
      <c r="K109" s="95">
        <v>0</v>
      </c>
      <c r="L109" s="94" t="s">
        <v>568</v>
      </c>
      <c r="M109" s="76" t="s">
        <v>416</v>
      </c>
      <c r="N109" s="76" t="s">
        <v>414</v>
      </c>
      <c r="O109" s="76" t="s">
        <v>290</v>
      </c>
    </row>
    <row r="110" spans="1:15" ht="30" hidden="1" customHeight="1" x14ac:dyDescent="0.25">
      <c r="A110" s="76" t="s">
        <v>407</v>
      </c>
      <c r="B110" s="76" t="s">
        <v>93</v>
      </c>
      <c r="C110" s="79" t="s">
        <v>76</v>
      </c>
      <c r="D110" s="81" t="s">
        <v>84</v>
      </c>
      <c r="E110" s="76" t="s">
        <v>55</v>
      </c>
      <c r="F110" s="94" t="s">
        <v>568</v>
      </c>
      <c r="G110" s="95">
        <v>0</v>
      </c>
      <c r="H110" s="95">
        <v>1</v>
      </c>
      <c r="I110" s="95">
        <v>0</v>
      </c>
      <c r="J110" s="94" t="s">
        <v>568</v>
      </c>
      <c r="K110" s="95">
        <v>0</v>
      </c>
      <c r="L110" s="94" t="s">
        <v>568</v>
      </c>
      <c r="M110" s="94" t="s">
        <v>568</v>
      </c>
      <c r="N110" s="76" t="s">
        <v>414</v>
      </c>
      <c r="O110" s="76" t="s">
        <v>412</v>
      </c>
    </row>
    <row r="111" spans="1:15" ht="30" hidden="1" customHeight="1" x14ac:dyDescent="0.25">
      <c r="A111" s="76" t="s">
        <v>407</v>
      </c>
      <c r="B111" s="76" t="s">
        <v>94</v>
      </c>
      <c r="C111" s="79" t="s">
        <v>70</v>
      </c>
      <c r="D111" s="81" t="s">
        <v>68</v>
      </c>
      <c r="E111" s="76" t="s">
        <v>54</v>
      </c>
      <c r="F111" s="94" t="s">
        <v>568</v>
      </c>
      <c r="G111" s="95">
        <v>0</v>
      </c>
      <c r="H111" s="95">
        <v>0</v>
      </c>
      <c r="I111" s="95">
        <v>0</v>
      </c>
      <c r="J111" s="94" t="s">
        <v>568</v>
      </c>
      <c r="K111" s="95">
        <v>0</v>
      </c>
      <c r="L111" s="94" t="s">
        <v>568</v>
      </c>
      <c r="M111" s="94" t="s">
        <v>568</v>
      </c>
      <c r="N111" s="76" t="s">
        <v>414</v>
      </c>
      <c r="O111" s="76" t="s">
        <v>259</v>
      </c>
    </row>
    <row r="112" spans="1:15" ht="30" hidden="1" customHeight="1" x14ac:dyDescent="0.25">
      <c r="A112" s="76" t="s">
        <v>407</v>
      </c>
      <c r="B112" s="76" t="s">
        <v>95</v>
      </c>
      <c r="C112" s="79" t="s">
        <v>82</v>
      </c>
      <c r="D112" s="78" t="s">
        <v>64</v>
      </c>
      <c r="E112" s="76" t="s">
        <v>55</v>
      </c>
      <c r="F112" s="76" t="s">
        <v>987</v>
      </c>
      <c r="G112" s="95">
        <v>1</v>
      </c>
      <c r="H112" s="95">
        <v>1</v>
      </c>
      <c r="I112" s="95">
        <v>0</v>
      </c>
      <c r="J112" s="94" t="s">
        <v>568</v>
      </c>
      <c r="K112" s="95">
        <v>0</v>
      </c>
      <c r="L112" s="94" t="s">
        <v>568</v>
      </c>
      <c r="M112" s="76" t="s">
        <v>416</v>
      </c>
      <c r="N112" s="76" t="s">
        <v>414</v>
      </c>
      <c r="O112" s="76" t="s">
        <v>281</v>
      </c>
    </row>
    <row r="113" spans="1:15" ht="30" hidden="1" customHeight="1" x14ac:dyDescent="0.25">
      <c r="A113" s="76" t="s">
        <v>407</v>
      </c>
      <c r="B113" s="76" t="s">
        <v>96</v>
      </c>
      <c r="C113" s="82" t="s">
        <v>71</v>
      </c>
      <c r="D113" s="81" t="s">
        <v>60</v>
      </c>
      <c r="E113" s="76" t="s">
        <v>54</v>
      </c>
      <c r="F113" s="94" t="s">
        <v>568</v>
      </c>
      <c r="G113" s="95">
        <v>0</v>
      </c>
      <c r="H113" s="95">
        <v>0</v>
      </c>
      <c r="I113" s="95">
        <v>0</v>
      </c>
      <c r="J113" s="94" t="s">
        <v>568</v>
      </c>
      <c r="K113" s="95">
        <v>0</v>
      </c>
      <c r="L113" s="94" t="s">
        <v>568</v>
      </c>
      <c r="M113" s="94" t="s">
        <v>568</v>
      </c>
      <c r="N113" s="76" t="s">
        <v>414</v>
      </c>
      <c r="O113" s="76" t="s">
        <v>250</v>
      </c>
    </row>
    <row r="114" spans="1:15" ht="30" hidden="1" customHeight="1" x14ac:dyDescent="0.25">
      <c r="A114" s="76" t="s">
        <v>407</v>
      </c>
      <c r="B114" s="76" t="s">
        <v>100</v>
      </c>
      <c r="C114" s="79" t="s">
        <v>73</v>
      </c>
      <c r="D114" s="81" t="s">
        <v>65</v>
      </c>
      <c r="E114" s="76" t="s">
        <v>55</v>
      </c>
      <c r="F114" s="76" t="s">
        <v>988</v>
      </c>
      <c r="G114" s="95">
        <v>0</v>
      </c>
      <c r="H114" s="95">
        <v>0</v>
      </c>
      <c r="I114" s="95">
        <v>0</v>
      </c>
      <c r="J114" s="94" t="s">
        <v>568</v>
      </c>
      <c r="K114" s="95">
        <v>0</v>
      </c>
      <c r="L114" s="94" t="s">
        <v>568</v>
      </c>
      <c r="M114" s="94" t="s">
        <v>568</v>
      </c>
      <c r="N114" s="76" t="s">
        <v>414</v>
      </c>
      <c r="O114" s="76" t="s">
        <v>420</v>
      </c>
    </row>
    <row r="115" spans="1:15" ht="30" hidden="1" customHeight="1" x14ac:dyDescent="0.25">
      <c r="A115" s="76" t="s">
        <v>407</v>
      </c>
      <c r="B115" s="76" t="s">
        <v>97</v>
      </c>
      <c r="C115" s="79" t="s">
        <v>69</v>
      </c>
      <c r="D115" s="81" t="s">
        <v>161</v>
      </c>
      <c r="E115" s="76" t="s">
        <v>54</v>
      </c>
      <c r="F115" s="76" t="s">
        <v>411</v>
      </c>
      <c r="G115" s="95">
        <v>0</v>
      </c>
      <c r="H115" s="95">
        <v>0</v>
      </c>
      <c r="I115" s="95">
        <v>0</v>
      </c>
      <c r="J115" s="94" t="s">
        <v>568</v>
      </c>
      <c r="K115" s="95">
        <v>0</v>
      </c>
      <c r="L115" s="94" t="s">
        <v>568</v>
      </c>
      <c r="M115" s="94" t="s">
        <v>568</v>
      </c>
      <c r="N115" s="76" t="s">
        <v>414</v>
      </c>
      <c r="O115" s="76" t="s">
        <v>412</v>
      </c>
    </row>
    <row r="116" spans="1:15" ht="30" hidden="1" customHeight="1" x14ac:dyDescent="0.25">
      <c r="A116" s="76" t="s">
        <v>407</v>
      </c>
      <c r="B116" s="76" t="s">
        <v>98</v>
      </c>
      <c r="C116" s="79" t="s">
        <v>78</v>
      </c>
      <c r="D116" s="83" t="s">
        <v>84</v>
      </c>
      <c r="E116" s="76" t="s">
        <v>55</v>
      </c>
      <c r="F116" s="94" t="s">
        <v>568</v>
      </c>
      <c r="G116" s="95">
        <v>0</v>
      </c>
      <c r="H116" s="95">
        <v>0</v>
      </c>
      <c r="I116" s="95">
        <v>0</v>
      </c>
      <c r="J116" s="94" t="s">
        <v>568</v>
      </c>
      <c r="K116" s="95">
        <v>1</v>
      </c>
      <c r="L116" s="94" t="s">
        <v>577</v>
      </c>
      <c r="M116" s="94" t="s">
        <v>568</v>
      </c>
      <c r="N116" s="76" t="s">
        <v>414</v>
      </c>
      <c r="O116" s="76" t="s">
        <v>422</v>
      </c>
    </row>
    <row r="117" spans="1:15" ht="30" hidden="1" customHeight="1" x14ac:dyDescent="0.25">
      <c r="A117" s="76" t="s">
        <v>407</v>
      </c>
      <c r="B117" s="76" t="s">
        <v>99</v>
      </c>
      <c r="C117" s="79" t="s">
        <v>62</v>
      </c>
      <c r="D117" s="81" t="s">
        <v>59</v>
      </c>
      <c r="E117" s="76" t="s">
        <v>54</v>
      </c>
      <c r="F117" s="76" t="s">
        <v>423</v>
      </c>
      <c r="G117" s="95">
        <v>0</v>
      </c>
      <c r="H117" s="95">
        <v>0</v>
      </c>
      <c r="I117" s="95">
        <v>0</v>
      </c>
      <c r="J117" s="94" t="s">
        <v>568</v>
      </c>
      <c r="K117" s="95">
        <v>0</v>
      </c>
      <c r="L117" s="94" t="s">
        <v>568</v>
      </c>
      <c r="M117" s="94" t="s">
        <v>568</v>
      </c>
      <c r="N117" s="76" t="s">
        <v>414</v>
      </c>
      <c r="O117" s="76" t="s">
        <v>275</v>
      </c>
    </row>
    <row r="118" spans="1:15" ht="30" hidden="1" customHeight="1" x14ac:dyDescent="0.25">
      <c r="A118" s="76" t="s">
        <v>407</v>
      </c>
      <c r="B118" s="76" t="s">
        <v>134</v>
      </c>
      <c r="C118" s="79" t="s">
        <v>72</v>
      </c>
      <c r="D118" s="80" t="s">
        <v>53</v>
      </c>
      <c r="E118" s="76" t="s">
        <v>55</v>
      </c>
      <c r="F118" s="94" t="s">
        <v>568</v>
      </c>
      <c r="G118" s="95">
        <v>1</v>
      </c>
      <c r="H118" s="95">
        <v>0</v>
      </c>
      <c r="I118" s="95">
        <v>0</v>
      </c>
      <c r="J118" s="94" t="s">
        <v>568</v>
      </c>
      <c r="K118" s="95">
        <v>0</v>
      </c>
      <c r="L118" s="94" t="s">
        <v>568</v>
      </c>
      <c r="M118" s="76" t="s">
        <v>424</v>
      </c>
      <c r="N118" s="76" t="s">
        <v>414</v>
      </c>
      <c r="O118" s="76" t="s">
        <v>277</v>
      </c>
    </row>
    <row r="119" spans="1:15" ht="30" hidden="1" customHeight="1" x14ac:dyDescent="0.25">
      <c r="A119" s="76" t="s">
        <v>407</v>
      </c>
      <c r="B119" s="76" t="s">
        <v>102</v>
      </c>
      <c r="C119" s="79" t="s">
        <v>57</v>
      </c>
      <c r="D119" s="81" t="s">
        <v>65</v>
      </c>
      <c r="E119" s="76" t="s">
        <v>54</v>
      </c>
      <c r="F119" s="76" t="s">
        <v>425</v>
      </c>
      <c r="G119" s="95">
        <v>0</v>
      </c>
      <c r="H119" s="95">
        <v>0</v>
      </c>
      <c r="I119" s="95">
        <v>0</v>
      </c>
      <c r="J119" s="94" t="s">
        <v>568</v>
      </c>
      <c r="K119" s="95">
        <v>0</v>
      </c>
      <c r="L119" s="94" t="s">
        <v>568</v>
      </c>
      <c r="M119" s="94" t="s">
        <v>568</v>
      </c>
      <c r="N119" s="76" t="s">
        <v>414</v>
      </c>
      <c r="O119" s="76" t="s">
        <v>426</v>
      </c>
    </row>
    <row r="120" spans="1:15" ht="30" hidden="1" customHeight="1" x14ac:dyDescent="0.25">
      <c r="A120" s="76" t="s">
        <v>407</v>
      </c>
      <c r="B120" s="76" t="s">
        <v>103</v>
      </c>
      <c r="C120" s="79" t="s">
        <v>77</v>
      </c>
      <c r="D120" s="80" t="s">
        <v>53</v>
      </c>
      <c r="E120" s="76" t="s">
        <v>55</v>
      </c>
      <c r="F120" s="94" t="s">
        <v>568</v>
      </c>
      <c r="G120" s="95">
        <v>0</v>
      </c>
      <c r="H120" s="95">
        <v>0</v>
      </c>
      <c r="I120" s="95">
        <v>0</v>
      </c>
      <c r="J120" s="94" t="s">
        <v>568</v>
      </c>
      <c r="K120" s="95">
        <v>0</v>
      </c>
      <c r="L120" s="94" t="s">
        <v>568</v>
      </c>
      <c r="M120" s="94" t="s">
        <v>568</v>
      </c>
      <c r="N120" s="76" t="s">
        <v>414</v>
      </c>
      <c r="O120" s="76" t="s">
        <v>251</v>
      </c>
    </row>
    <row r="121" spans="1:15" ht="30" hidden="1" customHeight="1" x14ac:dyDescent="0.25">
      <c r="A121" s="76" t="s">
        <v>407</v>
      </c>
      <c r="B121" s="76" t="s">
        <v>104</v>
      </c>
      <c r="C121" s="79" t="s">
        <v>74</v>
      </c>
      <c r="D121" s="78" t="s">
        <v>61</v>
      </c>
      <c r="E121" s="76" t="s">
        <v>54</v>
      </c>
      <c r="F121" s="76" t="s">
        <v>429</v>
      </c>
      <c r="G121" s="95">
        <v>1</v>
      </c>
      <c r="H121" s="95">
        <v>0</v>
      </c>
      <c r="I121" s="95">
        <v>0</v>
      </c>
      <c r="J121" s="94" t="s">
        <v>568</v>
      </c>
      <c r="K121" s="95">
        <v>1</v>
      </c>
      <c r="L121" s="76" t="s">
        <v>578</v>
      </c>
      <c r="M121" s="94" t="s">
        <v>287</v>
      </c>
      <c r="N121" s="76" t="s">
        <v>414</v>
      </c>
      <c r="O121" s="76" t="s">
        <v>420</v>
      </c>
    </row>
    <row r="122" spans="1:15" ht="30" hidden="1" customHeight="1" x14ac:dyDescent="0.25">
      <c r="A122" s="76" t="s">
        <v>407</v>
      </c>
      <c r="B122" s="76" t="s">
        <v>105</v>
      </c>
      <c r="C122" s="79" t="s">
        <v>406</v>
      </c>
      <c r="D122" s="78" t="s">
        <v>56</v>
      </c>
      <c r="E122" s="76" t="s">
        <v>55</v>
      </c>
      <c r="F122" s="76" t="s">
        <v>430</v>
      </c>
      <c r="G122" s="95">
        <v>0</v>
      </c>
      <c r="H122" s="95">
        <v>0</v>
      </c>
      <c r="I122" s="95">
        <v>0</v>
      </c>
      <c r="J122" s="94" t="s">
        <v>568</v>
      </c>
      <c r="K122" s="95">
        <v>0</v>
      </c>
      <c r="L122" s="94" t="s">
        <v>568</v>
      </c>
      <c r="M122" s="94" t="s">
        <v>568</v>
      </c>
      <c r="N122" s="76" t="s">
        <v>414</v>
      </c>
      <c r="O122" s="76" t="s">
        <v>419</v>
      </c>
    </row>
    <row r="123" spans="1:15" ht="30" hidden="1" customHeight="1" x14ac:dyDescent="0.25">
      <c r="A123" s="76" t="s">
        <v>407</v>
      </c>
      <c r="B123" s="76" t="s">
        <v>106</v>
      </c>
      <c r="C123" s="79" t="s">
        <v>58</v>
      </c>
      <c r="D123" s="83" t="s">
        <v>63</v>
      </c>
      <c r="E123" s="76" t="s">
        <v>54</v>
      </c>
      <c r="F123" s="94" t="s">
        <v>568</v>
      </c>
      <c r="G123" s="95">
        <v>1</v>
      </c>
      <c r="H123" s="95">
        <v>0</v>
      </c>
      <c r="I123" s="95">
        <v>0</v>
      </c>
      <c r="J123" s="94" t="s">
        <v>568</v>
      </c>
      <c r="K123" s="95">
        <v>0</v>
      </c>
      <c r="L123" s="94" t="s">
        <v>568</v>
      </c>
      <c r="M123" s="94" t="s">
        <v>413</v>
      </c>
      <c r="N123" s="76" t="s">
        <v>414</v>
      </c>
      <c r="O123" s="76" t="s">
        <v>432</v>
      </c>
    </row>
    <row r="124" spans="1:15" ht="30" hidden="1" customHeight="1" x14ac:dyDescent="0.25">
      <c r="A124" s="76" t="s">
        <v>407</v>
      </c>
      <c r="B124" s="76" t="s">
        <v>107</v>
      </c>
      <c r="C124" s="79" t="s">
        <v>80</v>
      </c>
      <c r="D124" s="78" t="s">
        <v>61</v>
      </c>
      <c r="E124" s="76" t="s">
        <v>55</v>
      </c>
      <c r="F124" s="76" t="s">
        <v>417</v>
      </c>
      <c r="G124" s="95">
        <v>0</v>
      </c>
      <c r="H124" s="95">
        <v>0</v>
      </c>
      <c r="I124" s="95">
        <v>0</v>
      </c>
      <c r="J124" s="94" t="s">
        <v>568</v>
      </c>
      <c r="K124" s="95">
        <v>0</v>
      </c>
      <c r="L124" s="94" t="s">
        <v>568</v>
      </c>
      <c r="M124" s="94" t="s">
        <v>568</v>
      </c>
      <c r="N124" s="76" t="s">
        <v>414</v>
      </c>
      <c r="O124" s="76" t="s">
        <v>272</v>
      </c>
    </row>
    <row r="125" spans="1:15" ht="30" hidden="1" customHeight="1" thickBot="1" x14ac:dyDescent="0.3">
      <c r="A125" s="84" t="s">
        <v>407</v>
      </c>
      <c r="B125" s="84" t="s">
        <v>108</v>
      </c>
      <c r="C125" s="85" t="s">
        <v>83</v>
      </c>
      <c r="D125" s="86" t="s">
        <v>68</v>
      </c>
      <c r="E125" s="84" t="s">
        <v>54</v>
      </c>
      <c r="F125" s="96" t="s">
        <v>568</v>
      </c>
      <c r="G125" s="97">
        <v>0</v>
      </c>
      <c r="H125" s="97">
        <v>0</v>
      </c>
      <c r="I125" s="97">
        <v>0</v>
      </c>
      <c r="J125" s="96" t="s">
        <v>568</v>
      </c>
      <c r="K125" s="97">
        <v>1</v>
      </c>
      <c r="L125" s="97" t="s">
        <v>577</v>
      </c>
      <c r="M125" s="96" t="s">
        <v>568</v>
      </c>
      <c r="N125" s="84" t="s">
        <v>414</v>
      </c>
      <c r="O125" s="84" t="s">
        <v>261</v>
      </c>
    </row>
    <row r="126" spans="1:15" ht="30" hidden="1" customHeight="1" x14ac:dyDescent="0.25">
      <c r="A126" s="76" t="s">
        <v>408</v>
      </c>
      <c r="B126" s="76" t="s">
        <v>91</v>
      </c>
      <c r="C126" s="79" t="s">
        <v>79</v>
      </c>
      <c r="D126" s="81" t="s">
        <v>161</v>
      </c>
      <c r="E126" s="76" t="s">
        <v>54</v>
      </c>
      <c r="F126" s="76" t="s">
        <v>411</v>
      </c>
      <c r="G126" s="95">
        <v>0</v>
      </c>
      <c r="H126" s="95">
        <v>0</v>
      </c>
      <c r="I126" s="95">
        <v>0</v>
      </c>
      <c r="J126" s="94" t="s">
        <v>568</v>
      </c>
      <c r="K126" s="95">
        <v>0</v>
      </c>
      <c r="L126" s="95" t="s">
        <v>568</v>
      </c>
      <c r="M126" s="94" t="s">
        <v>568</v>
      </c>
      <c r="N126" s="76" t="s">
        <v>414</v>
      </c>
      <c r="O126" s="76" t="s">
        <v>412</v>
      </c>
    </row>
    <row r="127" spans="1:15" ht="30" hidden="1" customHeight="1" x14ac:dyDescent="0.25">
      <c r="A127" s="76" t="s">
        <v>408</v>
      </c>
      <c r="B127" s="76" t="s">
        <v>92</v>
      </c>
      <c r="C127" s="79" t="s">
        <v>130</v>
      </c>
      <c r="D127" s="80" t="s">
        <v>66</v>
      </c>
      <c r="E127" s="76" t="s">
        <v>55</v>
      </c>
      <c r="F127" s="76" t="s">
        <v>289</v>
      </c>
      <c r="G127" s="95">
        <v>1</v>
      </c>
      <c r="H127" s="95">
        <v>1</v>
      </c>
      <c r="I127" s="95">
        <v>0</v>
      </c>
      <c r="J127" s="94" t="s">
        <v>568</v>
      </c>
      <c r="K127" s="95">
        <v>0</v>
      </c>
      <c r="L127" s="94" t="s">
        <v>568</v>
      </c>
      <c r="M127" s="76" t="s">
        <v>424</v>
      </c>
      <c r="N127" s="76" t="s">
        <v>414</v>
      </c>
      <c r="O127" s="76" t="s">
        <v>260</v>
      </c>
    </row>
    <row r="128" spans="1:15" ht="30" hidden="1" customHeight="1" x14ac:dyDescent="0.25">
      <c r="A128" s="76" t="s">
        <v>408</v>
      </c>
      <c r="B128" s="76" t="s">
        <v>93</v>
      </c>
      <c r="C128" s="79" t="s">
        <v>76</v>
      </c>
      <c r="D128" s="80" t="s">
        <v>53</v>
      </c>
      <c r="E128" s="76" t="s">
        <v>54</v>
      </c>
      <c r="F128" s="94" t="s">
        <v>568</v>
      </c>
      <c r="G128" s="95">
        <v>0</v>
      </c>
      <c r="H128" s="95">
        <v>0</v>
      </c>
      <c r="I128" s="95">
        <v>0</v>
      </c>
      <c r="J128" s="94" t="s">
        <v>568</v>
      </c>
      <c r="K128" s="95">
        <v>0</v>
      </c>
      <c r="L128" s="94" t="s">
        <v>568</v>
      </c>
      <c r="M128" s="94" t="s">
        <v>568</v>
      </c>
      <c r="N128" s="76" t="s">
        <v>414</v>
      </c>
      <c r="O128" s="76" t="s">
        <v>432</v>
      </c>
    </row>
    <row r="129" spans="1:15" ht="30" hidden="1" customHeight="1" x14ac:dyDescent="0.25">
      <c r="A129" s="76" t="s">
        <v>408</v>
      </c>
      <c r="B129" s="76" t="s">
        <v>94</v>
      </c>
      <c r="C129" s="79" t="s">
        <v>70</v>
      </c>
      <c r="D129" s="78" t="s">
        <v>56</v>
      </c>
      <c r="E129" s="76" t="s">
        <v>55</v>
      </c>
      <c r="F129" s="76" t="s">
        <v>415</v>
      </c>
      <c r="G129" s="95">
        <v>0</v>
      </c>
      <c r="H129" s="95">
        <v>0</v>
      </c>
      <c r="I129" s="95">
        <v>0</v>
      </c>
      <c r="J129" s="94" t="s">
        <v>568</v>
      </c>
      <c r="K129" s="95">
        <v>1</v>
      </c>
      <c r="L129" s="76" t="s">
        <v>578</v>
      </c>
      <c r="M129" s="94" t="s">
        <v>568</v>
      </c>
      <c r="N129" s="76" t="s">
        <v>414</v>
      </c>
      <c r="O129" s="76" t="s">
        <v>288</v>
      </c>
    </row>
    <row r="130" spans="1:15" ht="30" hidden="1" customHeight="1" x14ac:dyDescent="0.25">
      <c r="A130" s="76" t="s">
        <v>408</v>
      </c>
      <c r="B130" s="76" t="s">
        <v>95</v>
      </c>
      <c r="C130" s="79" t="s">
        <v>82</v>
      </c>
      <c r="D130" s="81" t="s">
        <v>59</v>
      </c>
      <c r="E130" s="76" t="s">
        <v>54</v>
      </c>
      <c r="F130" s="76" t="s">
        <v>417</v>
      </c>
      <c r="G130" s="95">
        <v>0</v>
      </c>
      <c r="H130" s="95">
        <v>0</v>
      </c>
      <c r="I130" s="95">
        <v>0</v>
      </c>
      <c r="J130" s="94" t="s">
        <v>568</v>
      </c>
      <c r="K130" s="95">
        <v>1</v>
      </c>
      <c r="L130" s="76" t="s">
        <v>578</v>
      </c>
      <c r="M130" s="94" t="s">
        <v>568</v>
      </c>
      <c r="N130" s="76" t="s">
        <v>414</v>
      </c>
      <c r="O130" s="76" t="s">
        <v>419</v>
      </c>
    </row>
    <row r="131" spans="1:15" ht="30" hidden="1" customHeight="1" x14ac:dyDescent="0.25">
      <c r="A131" s="76" t="s">
        <v>408</v>
      </c>
      <c r="B131" s="76" t="s">
        <v>96</v>
      </c>
      <c r="C131" s="82" t="s">
        <v>71</v>
      </c>
      <c r="D131" s="83" t="s">
        <v>84</v>
      </c>
      <c r="E131" s="76" t="s">
        <v>55</v>
      </c>
      <c r="F131" s="94" t="s">
        <v>568</v>
      </c>
      <c r="G131" s="95">
        <v>0</v>
      </c>
      <c r="H131" s="95">
        <v>0</v>
      </c>
      <c r="I131" s="95">
        <v>0</v>
      </c>
      <c r="J131" s="94" t="s">
        <v>568</v>
      </c>
      <c r="K131" s="95">
        <v>0</v>
      </c>
      <c r="L131" s="94" t="s">
        <v>568</v>
      </c>
      <c r="M131" s="94" t="s">
        <v>568</v>
      </c>
      <c r="N131" s="76" t="s">
        <v>414</v>
      </c>
      <c r="O131" s="76" t="s">
        <v>272</v>
      </c>
    </row>
    <row r="132" spans="1:15" ht="30" hidden="1" customHeight="1" x14ac:dyDescent="0.25">
      <c r="A132" s="76" t="s">
        <v>408</v>
      </c>
      <c r="B132" s="76" t="s">
        <v>100</v>
      </c>
      <c r="C132" s="79" t="s">
        <v>73</v>
      </c>
      <c r="D132" s="81" t="s">
        <v>68</v>
      </c>
      <c r="E132" s="76" t="s">
        <v>54</v>
      </c>
      <c r="F132" s="94" t="s">
        <v>568</v>
      </c>
      <c r="G132" s="95">
        <v>0</v>
      </c>
      <c r="H132" s="95">
        <v>0</v>
      </c>
      <c r="I132" s="95">
        <v>0</v>
      </c>
      <c r="J132" s="94" t="s">
        <v>568</v>
      </c>
      <c r="K132" s="95">
        <v>0</v>
      </c>
      <c r="L132" s="94" t="s">
        <v>568</v>
      </c>
      <c r="M132" s="94" t="s">
        <v>568</v>
      </c>
      <c r="N132" s="76" t="s">
        <v>414</v>
      </c>
      <c r="O132" s="76" t="s">
        <v>290</v>
      </c>
    </row>
    <row r="133" spans="1:15" ht="30" hidden="1" customHeight="1" x14ac:dyDescent="0.25">
      <c r="A133" s="76" t="s">
        <v>408</v>
      </c>
      <c r="B133" s="76" t="s">
        <v>97</v>
      </c>
      <c r="C133" s="79" t="s">
        <v>69</v>
      </c>
      <c r="D133" s="81" t="s">
        <v>59</v>
      </c>
      <c r="E133" s="76" t="s">
        <v>55</v>
      </c>
      <c r="F133" s="76" t="s">
        <v>443</v>
      </c>
      <c r="G133" s="95">
        <v>0</v>
      </c>
      <c r="H133" s="95">
        <v>0</v>
      </c>
      <c r="I133" s="95">
        <v>0</v>
      </c>
      <c r="J133" s="94" t="s">
        <v>568</v>
      </c>
      <c r="K133" s="95">
        <v>0</v>
      </c>
      <c r="L133" s="94" t="s">
        <v>568</v>
      </c>
      <c r="M133" s="94" t="s">
        <v>568</v>
      </c>
      <c r="N133" s="76" t="s">
        <v>414</v>
      </c>
      <c r="O133" s="76" t="s">
        <v>251</v>
      </c>
    </row>
    <row r="134" spans="1:15" ht="30" hidden="1" customHeight="1" x14ac:dyDescent="0.25">
      <c r="A134" s="76" t="s">
        <v>408</v>
      </c>
      <c r="B134" s="76" t="s">
        <v>98</v>
      </c>
      <c r="C134" s="79" t="s">
        <v>78</v>
      </c>
      <c r="D134" s="81" t="s">
        <v>59</v>
      </c>
      <c r="E134" s="76" t="s">
        <v>54</v>
      </c>
      <c r="F134" s="76" t="s">
        <v>421</v>
      </c>
      <c r="G134" s="95">
        <v>1</v>
      </c>
      <c r="H134" s="95">
        <v>0</v>
      </c>
      <c r="I134" s="95">
        <v>0</v>
      </c>
      <c r="J134" s="94" t="s">
        <v>568</v>
      </c>
      <c r="K134" s="95">
        <v>1</v>
      </c>
      <c r="L134" s="95" t="s">
        <v>577</v>
      </c>
      <c r="M134" s="76" t="s">
        <v>416</v>
      </c>
      <c r="N134" s="76" t="s">
        <v>414</v>
      </c>
      <c r="O134" s="76" t="s">
        <v>281</v>
      </c>
    </row>
    <row r="135" spans="1:15" ht="30" hidden="1" customHeight="1" x14ac:dyDescent="0.25">
      <c r="A135" s="76" t="s">
        <v>408</v>
      </c>
      <c r="B135" s="76" t="s">
        <v>99</v>
      </c>
      <c r="C135" s="79" t="s">
        <v>62</v>
      </c>
      <c r="D135" s="83" t="s">
        <v>84</v>
      </c>
      <c r="E135" s="76" t="s">
        <v>55</v>
      </c>
      <c r="F135" s="94" t="s">
        <v>568</v>
      </c>
      <c r="G135" s="95">
        <v>0</v>
      </c>
      <c r="H135" s="95">
        <v>0</v>
      </c>
      <c r="I135" s="95">
        <v>0</v>
      </c>
      <c r="J135" s="94" t="s">
        <v>568</v>
      </c>
      <c r="K135" s="95">
        <v>0</v>
      </c>
      <c r="L135" s="94" t="s">
        <v>568</v>
      </c>
      <c r="M135" s="94" t="s">
        <v>568</v>
      </c>
      <c r="N135" s="76" t="s">
        <v>414</v>
      </c>
      <c r="O135" s="76" t="s">
        <v>288</v>
      </c>
    </row>
    <row r="136" spans="1:15" ht="30" hidden="1" customHeight="1" x14ac:dyDescent="0.25">
      <c r="A136" s="76" t="s">
        <v>408</v>
      </c>
      <c r="B136" s="76" t="s">
        <v>134</v>
      </c>
      <c r="C136" s="79" t="s">
        <v>72</v>
      </c>
      <c r="D136" s="81" t="s">
        <v>60</v>
      </c>
      <c r="E136" s="76" t="s">
        <v>54</v>
      </c>
      <c r="F136" s="94" t="s">
        <v>568</v>
      </c>
      <c r="G136" s="95">
        <v>0</v>
      </c>
      <c r="H136" s="95">
        <v>0</v>
      </c>
      <c r="I136" s="95">
        <v>0</v>
      </c>
      <c r="J136" s="94" t="s">
        <v>568</v>
      </c>
      <c r="K136" s="95">
        <v>1</v>
      </c>
      <c r="L136" s="95" t="s">
        <v>577</v>
      </c>
      <c r="M136" s="94" t="s">
        <v>568</v>
      </c>
      <c r="N136" s="76" t="s">
        <v>414</v>
      </c>
      <c r="O136" s="76" t="s">
        <v>260</v>
      </c>
    </row>
    <row r="137" spans="1:15" ht="30" hidden="1" customHeight="1" x14ac:dyDescent="0.25">
      <c r="A137" s="76" t="s">
        <v>408</v>
      </c>
      <c r="B137" s="76" t="s">
        <v>102</v>
      </c>
      <c r="C137" s="79" t="s">
        <v>57</v>
      </c>
      <c r="D137" s="83" t="s">
        <v>84</v>
      </c>
      <c r="E137" s="76" t="s">
        <v>55</v>
      </c>
      <c r="F137" s="94" t="s">
        <v>568</v>
      </c>
      <c r="G137" s="95">
        <v>0</v>
      </c>
      <c r="H137" s="95">
        <v>0</v>
      </c>
      <c r="I137" s="95">
        <v>0</v>
      </c>
      <c r="J137" s="94" t="s">
        <v>568</v>
      </c>
      <c r="K137" s="95">
        <v>0</v>
      </c>
      <c r="L137" s="94" t="s">
        <v>568</v>
      </c>
      <c r="M137" s="94" t="s">
        <v>568</v>
      </c>
      <c r="N137" s="76" t="s">
        <v>418</v>
      </c>
      <c r="O137" s="76" t="s">
        <v>419</v>
      </c>
    </row>
    <row r="138" spans="1:15" ht="30" hidden="1" customHeight="1" x14ac:dyDescent="0.25">
      <c r="A138" s="76" t="s">
        <v>408</v>
      </c>
      <c r="B138" s="76" t="s">
        <v>103</v>
      </c>
      <c r="C138" s="79" t="s">
        <v>77</v>
      </c>
      <c r="D138" s="83" t="s">
        <v>84</v>
      </c>
      <c r="E138" s="76" t="s">
        <v>54</v>
      </c>
      <c r="F138" s="94" t="s">
        <v>568</v>
      </c>
      <c r="G138" s="95">
        <v>0</v>
      </c>
      <c r="H138" s="95">
        <v>0</v>
      </c>
      <c r="I138" s="95">
        <v>0</v>
      </c>
      <c r="J138" s="94" t="s">
        <v>568</v>
      </c>
      <c r="K138" s="95">
        <v>0</v>
      </c>
      <c r="L138" s="94" t="s">
        <v>568</v>
      </c>
      <c r="M138" s="94" t="s">
        <v>568</v>
      </c>
      <c r="N138" s="76" t="s">
        <v>418</v>
      </c>
      <c r="O138" s="76" t="s">
        <v>275</v>
      </c>
    </row>
    <row r="139" spans="1:15" ht="30" hidden="1" customHeight="1" x14ac:dyDescent="0.25">
      <c r="A139" s="76" t="s">
        <v>408</v>
      </c>
      <c r="B139" s="76" t="s">
        <v>104</v>
      </c>
      <c r="C139" s="79" t="s">
        <v>74</v>
      </c>
      <c r="D139" s="80" t="s">
        <v>53</v>
      </c>
      <c r="E139" s="76" t="s">
        <v>55</v>
      </c>
      <c r="F139" s="94" t="s">
        <v>568</v>
      </c>
      <c r="G139" s="95">
        <v>0</v>
      </c>
      <c r="H139" s="95">
        <v>0</v>
      </c>
      <c r="I139" s="95">
        <v>0</v>
      </c>
      <c r="J139" s="94" t="s">
        <v>568</v>
      </c>
      <c r="K139" s="95">
        <v>0</v>
      </c>
      <c r="L139" s="94" t="s">
        <v>568</v>
      </c>
      <c r="M139" s="94" t="s">
        <v>568</v>
      </c>
      <c r="N139" s="76" t="s">
        <v>418</v>
      </c>
      <c r="O139" s="76" t="s">
        <v>277</v>
      </c>
    </row>
    <row r="140" spans="1:15" ht="30" hidden="1" customHeight="1" x14ac:dyDescent="0.25">
      <c r="A140" s="76" t="s">
        <v>408</v>
      </c>
      <c r="B140" s="76" t="s">
        <v>105</v>
      </c>
      <c r="C140" s="79" t="s">
        <v>406</v>
      </c>
      <c r="D140" s="81" t="s">
        <v>409</v>
      </c>
      <c r="E140" s="76" t="s">
        <v>54</v>
      </c>
      <c r="F140" s="76" t="s">
        <v>431</v>
      </c>
      <c r="G140" s="95">
        <v>0</v>
      </c>
      <c r="H140" s="95">
        <v>0</v>
      </c>
      <c r="I140" s="95">
        <v>1</v>
      </c>
      <c r="J140" s="94" t="s">
        <v>611</v>
      </c>
      <c r="K140" s="95">
        <v>0</v>
      </c>
      <c r="L140" s="94" t="s">
        <v>568</v>
      </c>
      <c r="M140" s="94" t="s">
        <v>568</v>
      </c>
      <c r="N140" s="76" t="s">
        <v>418</v>
      </c>
      <c r="O140" s="76" t="s">
        <v>272</v>
      </c>
    </row>
    <row r="141" spans="1:15" ht="30" hidden="1" customHeight="1" x14ac:dyDescent="0.25">
      <c r="A141" s="76" t="s">
        <v>408</v>
      </c>
      <c r="B141" s="76" t="s">
        <v>106</v>
      </c>
      <c r="C141" s="79" t="s">
        <v>58</v>
      </c>
      <c r="D141" s="78" t="s">
        <v>64</v>
      </c>
      <c r="E141" s="76" t="s">
        <v>55</v>
      </c>
      <c r="F141" s="76" t="s">
        <v>430</v>
      </c>
      <c r="G141" s="95">
        <v>0</v>
      </c>
      <c r="H141" s="95">
        <v>0</v>
      </c>
      <c r="I141" s="95">
        <v>0</v>
      </c>
      <c r="J141" s="94" t="s">
        <v>568</v>
      </c>
      <c r="K141" s="95">
        <v>0</v>
      </c>
      <c r="L141" s="94" t="s">
        <v>568</v>
      </c>
      <c r="M141" s="94" t="s">
        <v>568</v>
      </c>
      <c r="N141" s="76" t="s">
        <v>418</v>
      </c>
      <c r="O141" s="76" t="s">
        <v>281</v>
      </c>
    </row>
    <row r="142" spans="1:15" ht="30" hidden="1" customHeight="1" x14ac:dyDescent="0.25">
      <c r="A142" s="76" t="s">
        <v>408</v>
      </c>
      <c r="B142" s="76" t="s">
        <v>107</v>
      </c>
      <c r="C142" s="79" t="s">
        <v>80</v>
      </c>
      <c r="D142" s="78" t="s">
        <v>56</v>
      </c>
      <c r="E142" s="76" t="s">
        <v>54</v>
      </c>
      <c r="F142" s="76" t="s">
        <v>444</v>
      </c>
      <c r="G142" s="95">
        <v>0</v>
      </c>
      <c r="H142" s="95">
        <v>0</v>
      </c>
      <c r="I142" s="95">
        <v>1</v>
      </c>
      <c r="J142" s="95" t="s">
        <v>569</v>
      </c>
      <c r="K142" s="95">
        <v>0</v>
      </c>
      <c r="L142" s="94" t="s">
        <v>568</v>
      </c>
      <c r="M142" s="94" t="s">
        <v>568</v>
      </c>
      <c r="N142" s="76" t="s">
        <v>418</v>
      </c>
      <c r="O142" s="76" t="s">
        <v>432</v>
      </c>
    </row>
    <row r="143" spans="1:15" ht="30" hidden="1" customHeight="1" thickBot="1" x14ac:dyDescent="0.3">
      <c r="A143" s="84" t="s">
        <v>408</v>
      </c>
      <c r="B143" s="84" t="s">
        <v>108</v>
      </c>
      <c r="C143" s="85" t="s">
        <v>83</v>
      </c>
      <c r="D143" s="87" t="s">
        <v>66</v>
      </c>
      <c r="E143" s="84" t="s">
        <v>55</v>
      </c>
      <c r="F143" s="84" t="s">
        <v>283</v>
      </c>
      <c r="G143" s="97">
        <v>0</v>
      </c>
      <c r="H143" s="97">
        <v>0</v>
      </c>
      <c r="I143" s="97">
        <v>0</v>
      </c>
      <c r="J143" s="96" t="s">
        <v>568</v>
      </c>
      <c r="K143" s="97">
        <v>0</v>
      </c>
      <c r="L143" s="96" t="s">
        <v>568</v>
      </c>
      <c r="M143" s="96" t="s">
        <v>568</v>
      </c>
      <c r="N143" s="84" t="s">
        <v>418</v>
      </c>
      <c r="O143" s="84" t="s">
        <v>290</v>
      </c>
    </row>
    <row r="144" spans="1:15" ht="30" hidden="1" customHeight="1" x14ac:dyDescent="0.25">
      <c r="A144" s="76">
        <v>2023</v>
      </c>
      <c r="B144" s="76" t="s">
        <v>91</v>
      </c>
      <c r="C144" s="82" t="s">
        <v>57</v>
      </c>
      <c r="D144" s="80" t="s">
        <v>53</v>
      </c>
      <c r="E144" s="76" t="s">
        <v>54</v>
      </c>
      <c r="F144" s="94" t="s">
        <v>568</v>
      </c>
      <c r="G144" s="76">
        <v>0</v>
      </c>
      <c r="H144" s="76">
        <v>0</v>
      </c>
      <c r="I144" s="76">
        <v>0</v>
      </c>
      <c r="J144" s="94" t="s">
        <v>568</v>
      </c>
      <c r="K144" s="76">
        <v>0</v>
      </c>
      <c r="L144" s="94" t="s">
        <v>568</v>
      </c>
      <c r="M144" s="94" t="s">
        <v>568</v>
      </c>
      <c r="N144" s="76" t="s">
        <v>246</v>
      </c>
      <c r="O144" s="76" t="s">
        <v>250</v>
      </c>
    </row>
    <row r="145" spans="1:15" ht="30" hidden="1" customHeight="1" x14ac:dyDescent="0.25">
      <c r="A145" s="76">
        <v>2023</v>
      </c>
      <c r="B145" s="76" t="s">
        <v>92</v>
      </c>
      <c r="C145" s="82" t="s">
        <v>58</v>
      </c>
      <c r="D145" s="78" t="s">
        <v>56</v>
      </c>
      <c r="E145" s="76" t="s">
        <v>55</v>
      </c>
      <c r="F145" s="76" t="s">
        <v>273</v>
      </c>
      <c r="G145" s="76">
        <v>0</v>
      </c>
      <c r="H145" s="76">
        <v>0</v>
      </c>
      <c r="I145" s="76">
        <v>0</v>
      </c>
      <c r="J145" s="94" t="s">
        <v>568</v>
      </c>
      <c r="K145" s="76">
        <v>0</v>
      </c>
      <c r="L145" s="94" t="s">
        <v>568</v>
      </c>
      <c r="M145" s="94" t="s">
        <v>568</v>
      </c>
      <c r="N145" s="76" t="s">
        <v>246</v>
      </c>
      <c r="O145" s="76" t="s">
        <v>272</v>
      </c>
    </row>
    <row r="146" spans="1:15" ht="30" hidden="1" customHeight="1" x14ac:dyDescent="0.25">
      <c r="A146" s="76">
        <v>2023</v>
      </c>
      <c r="B146" s="76" t="s">
        <v>93</v>
      </c>
      <c r="C146" s="82" t="s">
        <v>70</v>
      </c>
      <c r="D146" s="81" t="s">
        <v>59</v>
      </c>
      <c r="E146" s="76" t="s">
        <v>54</v>
      </c>
      <c r="F146" s="76" t="s">
        <v>252</v>
      </c>
      <c r="G146" s="76">
        <v>1</v>
      </c>
      <c r="H146" s="76">
        <v>0</v>
      </c>
      <c r="I146" s="76">
        <v>0</v>
      </c>
      <c r="J146" s="94" t="s">
        <v>568</v>
      </c>
      <c r="K146" s="76">
        <v>1</v>
      </c>
      <c r="L146" s="76" t="s">
        <v>578</v>
      </c>
      <c r="M146" s="76" t="s">
        <v>205</v>
      </c>
      <c r="N146" s="76" t="s">
        <v>246</v>
      </c>
      <c r="O146" s="76" t="s">
        <v>251</v>
      </c>
    </row>
    <row r="147" spans="1:15" ht="30" hidden="1" customHeight="1" x14ac:dyDescent="0.25">
      <c r="A147" s="76">
        <v>2023</v>
      </c>
      <c r="B147" s="76" t="s">
        <v>94</v>
      </c>
      <c r="C147" s="82" t="s">
        <v>71</v>
      </c>
      <c r="D147" s="81" t="s">
        <v>60</v>
      </c>
      <c r="E147" s="76" t="s">
        <v>55</v>
      </c>
      <c r="F147" s="94" t="s">
        <v>568</v>
      </c>
      <c r="G147" s="76">
        <v>0</v>
      </c>
      <c r="H147" s="76">
        <v>0</v>
      </c>
      <c r="I147" s="76">
        <v>0</v>
      </c>
      <c r="J147" s="94" t="s">
        <v>568</v>
      </c>
      <c r="K147" s="76">
        <v>0</v>
      </c>
      <c r="L147" s="94" t="s">
        <v>568</v>
      </c>
      <c r="M147" s="94" t="s">
        <v>568</v>
      </c>
      <c r="N147" s="76" t="s">
        <v>246</v>
      </c>
      <c r="O147" s="76" t="s">
        <v>297</v>
      </c>
    </row>
    <row r="148" spans="1:15" ht="30" hidden="1" customHeight="1" x14ac:dyDescent="0.25">
      <c r="A148" s="76">
        <v>2023</v>
      </c>
      <c r="B148" s="76" t="s">
        <v>95</v>
      </c>
      <c r="C148" s="82" t="s">
        <v>72</v>
      </c>
      <c r="D148" s="81" t="s">
        <v>60</v>
      </c>
      <c r="E148" s="76" t="s">
        <v>54</v>
      </c>
      <c r="F148" s="94" t="s">
        <v>568</v>
      </c>
      <c r="G148" s="76">
        <v>1</v>
      </c>
      <c r="H148" s="76">
        <v>0</v>
      </c>
      <c r="I148" s="76">
        <v>0</v>
      </c>
      <c r="J148" s="94" t="s">
        <v>568</v>
      </c>
      <c r="K148" s="76">
        <v>0</v>
      </c>
      <c r="L148" s="94" t="s">
        <v>568</v>
      </c>
      <c r="M148" s="94" t="s">
        <v>411</v>
      </c>
      <c r="N148" s="76" t="s">
        <v>246</v>
      </c>
      <c r="O148" s="76" t="s">
        <v>261</v>
      </c>
    </row>
    <row r="149" spans="1:15" ht="30" hidden="1" customHeight="1" x14ac:dyDescent="0.25">
      <c r="A149" s="76">
        <v>2023</v>
      </c>
      <c r="B149" s="76" t="s">
        <v>96</v>
      </c>
      <c r="C149" s="82" t="s">
        <v>73</v>
      </c>
      <c r="D149" s="81" t="s">
        <v>59</v>
      </c>
      <c r="E149" s="76" t="s">
        <v>55</v>
      </c>
      <c r="F149" s="76" t="s">
        <v>202</v>
      </c>
      <c r="G149" s="76">
        <v>0</v>
      </c>
      <c r="H149" s="76">
        <v>0</v>
      </c>
      <c r="I149" s="76">
        <v>0</v>
      </c>
      <c r="J149" s="94" t="s">
        <v>568</v>
      </c>
      <c r="K149" s="76">
        <v>0</v>
      </c>
      <c r="L149" s="94" t="s">
        <v>568</v>
      </c>
      <c r="M149" s="94" t="s">
        <v>568</v>
      </c>
      <c r="N149" s="76" t="s">
        <v>246</v>
      </c>
      <c r="O149" s="76" t="s">
        <v>259</v>
      </c>
    </row>
    <row r="150" spans="1:15" ht="30" hidden="1" customHeight="1" x14ac:dyDescent="0.25">
      <c r="A150" s="76">
        <v>2023</v>
      </c>
      <c r="B150" s="76" t="s">
        <v>100</v>
      </c>
      <c r="C150" s="82" t="s">
        <v>74</v>
      </c>
      <c r="D150" s="78" t="s">
        <v>61</v>
      </c>
      <c r="E150" s="76" t="s">
        <v>54</v>
      </c>
      <c r="F150" s="76" t="s">
        <v>283</v>
      </c>
      <c r="G150" s="76">
        <v>1</v>
      </c>
      <c r="H150" s="76">
        <v>0</v>
      </c>
      <c r="I150" s="76">
        <v>1</v>
      </c>
      <c r="J150" s="95" t="s">
        <v>570</v>
      </c>
      <c r="K150" s="76">
        <v>0</v>
      </c>
      <c r="L150" s="94" t="s">
        <v>568</v>
      </c>
      <c r="M150" s="76" t="s">
        <v>296</v>
      </c>
      <c r="N150" s="76" t="s">
        <v>246</v>
      </c>
      <c r="O150" s="76" t="s">
        <v>260</v>
      </c>
    </row>
    <row r="151" spans="1:15" ht="30" hidden="1" customHeight="1" x14ac:dyDescent="0.25">
      <c r="A151" s="76">
        <v>2023</v>
      </c>
      <c r="B151" s="76" t="s">
        <v>97</v>
      </c>
      <c r="C151" s="82" t="s">
        <v>75</v>
      </c>
      <c r="D151" s="80" t="s">
        <v>53</v>
      </c>
      <c r="E151" s="76" t="s">
        <v>55</v>
      </c>
      <c r="F151" s="94" t="s">
        <v>568</v>
      </c>
      <c r="G151" s="76">
        <v>0</v>
      </c>
      <c r="H151" s="76">
        <v>0</v>
      </c>
      <c r="I151" s="76">
        <v>0</v>
      </c>
      <c r="J151" s="94" t="s">
        <v>568</v>
      </c>
      <c r="K151" s="76">
        <v>0</v>
      </c>
      <c r="L151" s="94" t="s">
        <v>568</v>
      </c>
      <c r="M151" s="94" t="s">
        <v>568</v>
      </c>
      <c r="N151" s="76" t="s">
        <v>246</v>
      </c>
      <c r="O151" s="76" t="s">
        <v>251</v>
      </c>
    </row>
    <row r="152" spans="1:15" ht="30" hidden="1" customHeight="1" x14ac:dyDescent="0.25">
      <c r="A152" s="76">
        <v>2023</v>
      </c>
      <c r="B152" s="76" t="s">
        <v>98</v>
      </c>
      <c r="C152" s="82" t="s">
        <v>62</v>
      </c>
      <c r="D152" s="81" t="s">
        <v>63</v>
      </c>
      <c r="E152" s="76" t="s">
        <v>54</v>
      </c>
      <c r="F152" s="94" t="s">
        <v>568</v>
      </c>
      <c r="G152" s="76">
        <v>0</v>
      </c>
      <c r="H152" s="76">
        <v>0</v>
      </c>
      <c r="I152" s="76">
        <v>0</v>
      </c>
      <c r="J152" s="94" t="s">
        <v>568</v>
      </c>
      <c r="K152" s="76">
        <v>0</v>
      </c>
      <c r="L152" s="94" t="s">
        <v>568</v>
      </c>
      <c r="M152" s="94" t="s">
        <v>568</v>
      </c>
      <c r="N152" s="76" t="s">
        <v>246</v>
      </c>
      <c r="O152" s="76" t="s">
        <v>274</v>
      </c>
    </row>
    <row r="153" spans="1:15" ht="30" hidden="1" customHeight="1" x14ac:dyDescent="0.25">
      <c r="A153" s="76">
        <v>2023</v>
      </c>
      <c r="B153" s="76" t="s">
        <v>99</v>
      </c>
      <c r="C153" s="82" t="s">
        <v>76</v>
      </c>
      <c r="D153" s="78" t="s">
        <v>64</v>
      </c>
      <c r="E153" s="76" t="s">
        <v>55</v>
      </c>
      <c r="F153" s="76" t="s">
        <v>200</v>
      </c>
      <c r="G153" s="76">
        <v>0</v>
      </c>
      <c r="H153" s="76">
        <v>0</v>
      </c>
      <c r="I153" s="76">
        <v>0</v>
      </c>
      <c r="J153" s="94" t="s">
        <v>568</v>
      </c>
      <c r="K153" s="76">
        <v>0</v>
      </c>
      <c r="L153" s="94" t="s">
        <v>568</v>
      </c>
      <c r="M153" s="94" t="s">
        <v>568</v>
      </c>
      <c r="N153" s="76" t="s">
        <v>246</v>
      </c>
      <c r="O153" s="76" t="s">
        <v>288</v>
      </c>
    </row>
    <row r="154" spans="1:15" ht="30" hidden="1" customHeight="1" x14ac:dyDescent="0.25">
      <c r="A154" s="76">
        <v>2023</v>
      </c>
      <c r="B154" s="76" t="s">
        <v>101</v>
      </c>
      <c r="C154" s="82" t="s">
        <v>77</v>
      </c>
      <c r="D154" s="81" t="s">
        <v>65</v>
      </c>
      <c r="E154" s="76" t="s">
        <v>54</v>
      </c>
      <c r="F154" s="76" t="s">
        <v>295</v>
      </c>
      <c r="G154" s="76">
        <v>0</v>
      </c>
      <c r="H154" s="76">
        <v>0</v>
      </c>
      <c r="I154" s="76">
        <v>0</v>
      </c>
      <c r="J154" s="94" t="s">
        <v>568</v>
      </c>
      <c r="K154" s="76">
        <v>0</v>
      </c>
      <c r="L154" s="94" t="s">
        <v>568</v>
      </c>
      <c r="M154" s="94" t="s">
        <v>568</v>
      </c>
      <c r="N154" s="76" t="s">
        <v>246</v>
      </c>
      <c r="O154" s="76" t="s">
        <v>264</v>
      </c>
    </row>
    <row r="155" spans="1:15" ht="30" hidden="1" customHeight="1" x14ac:dyDescent="0.25">
      <c r="A155" s="76">
        <v>2023</v>
      </c>
      <c r="B155" s="76" t="s">
        <v>102</v>
      </c>
      <c r="C155" s="82" t="s">
        <v>78</v>
      </c>
      <c r="D155" s="80" t="s">
        <v>66</v>
      </c>
      <c r="E155" s="76" t="s">
        <v>55</v>
      </c>
      <c r="F155" s="76" t="s">
        <v>294</v>
      </c>
      <c r="G155" s="76">
        <v>0</v>
      </c>
      <c r="H155" s="76">
        <v>1</v>
      </c>
      <c r="I155" s="76">
        <v>0</v>
      </c>
      <c r="J155" s="94" t="s">
        <v>568</v>
      </c>
      <c r="K155" s="76">
        <v>0</v>
      </c>
      <c r="L155" s="94" t="s">
        <v>568</v>
      </c>
      <c r="M155" s="94" t="s">
        <v>568</v>
      </c>
      <c r="N155" s="76" t="s">
        <v>246</v>
      </c>
      <c r="O155" s="76" t="s">
        <v>277</v>
      </c>
    </row>
    <row r="156" spans="1:15" ht="30" hidden="1" customHeight="1" x14ac:dyDescent="0.25">
      <c r="A156" s="76">
        <v>2023</v>
      </c>
      <c r="B156" s="76" t="s">
        <v>103</v>
      </c>
      <c r="C156" s="82" t="s">
        <v>79</v>
      </c>
      <c r="D156" s="81" t="s">
        <v>67</v>
      </c>
      <c r="E156" s="76" t="s">
        <v>54</v>
      </c>
      <c r="F156" s="76" t="s">
        <v>293</v>
      </c>
      <c r="G156" s="76">
        <v>0</v>
      </c>
      <c r="H156" s="76">
        <v>0</v>
      </c>
      <c r="I156" s="76">
        <v>0</v>
      </c>
      <c r="J156" s="94" t="s">
        <v>568</v>
      </c>
      <c r="K156" s="76">
        <v>1</v>
      </c>
      <c r="L156" s="76" t="s">
        <v>577</v>
      </c>
      <c r="M156" s="94" t="s">
        <v>568</v>
      </c>
      <c r="N156" s="76" t="s">
        <v>246</v>
      </c>
      <c r="O156" s="76" t="s">
        <v>281</v>
      </c>
    </row>
    <row r="157" spans="1:15" ht="30" hidden="1" customHeight="1" x14ac:dyDescent="0.25">
      <c r="A157" s="76">
        <v>2023</v>
      </c>
      <c r="B157" s="76" t="s">
        <v>104</v>
      </c>
      <c r="C157" s="82" t="s">
        <v>80</v>
      </c>
      <c r="D157" s="80" t="s">
        <v>66</v>
      </c>
      <c r="E157" s="76" t="s">
        <v>55</v>
      </c>
      <c r="F157" s="76" t="s">
        <v>298</v>
      </c>
      <c r="G157" s="76">
        <v>0</v>
      </c>
      <c r="H157" s="76">
        <v>0</v>
      </c>
      <c r="I157" s="76">
        <v>0</v>
      </c>
      <c r="J157" s="94" t="s">
        <v>568</v>
      </c>
      <c r="K157" s="76">
        <v>0</v>
      </c>
      <c r="L157" s="94" t="s">
        <v>568</v>
      </c>
      <c r="M157" s="94" t="s">
        <v>568</v>
      </c>
      <c r="N157" s="76" t="s">
        <v>246</v>
      </c>
      <c r="O157" s="76" t="s">
        <v>432</v>
      </c>
    </row>
    <row r="158" spans="1:15" ht="30" hidden="1" customHeight="1" x14ac:dyDescent="0.25">
      <c r="A158" s="76">
        <v>2023</v>
      </c>
      <c r="B158" s="76" t="s">
        <v>105</v>
      </c>
      <c r="C158" s="82" t="s">
        <v>81</v>
      </c>
      <c r="D158" s="81" t="s">
        <v>68</v>
      </c>
      <c r="E158" s="76" t="s">
        <v>54</v>
      </c>
      <c r="F158" s="94" t="s">
        <v>568</v>
      </c>
      <c r="G158" s="76">
        <v>1</v>
      </c>
      <c r="H158" s="76">
        <v>0</v>
      </c>
      <c r="I158" s="76">
        <v>0</v>
      </c>
      <c r="J158" s="94" t="s">
        <v>568</v>
      </c>
      <c r="K158" s="76">
        <v>0</v>
      </c>
      <c r="L158" s="94" t="s">
        <v>568</v>
      </c>
      <c r="M158" s="76" t="s">
        <v>292</v>
      </c>
      <c r="N158" s="76" t="s">
        <v>246</v>
      </c>
      <c r="O158" s="76" t="s">
        <v>275</v>
      </c>
    </row>
    <row r="159" spans="1:15" ht="30" hidden="1" customHeight="1" x14ac:dyDescent="0.25">
      <c r="A159" s="76">
        <v>2023</v>
      </c>
      <c r="B159" s="76" t="s">
        <v>106</v>
      </c>
      <c r="C159" s="82" t="s">
        <v>82</v>
      </c>
      <c r="D159" s="80" t="s">
        <v>53</v>
      </c>
      <c r="E159" s="76" t="s">
        <v>55</v>
      </c>
      <c r="F159" s="94" t="s">
        <v>568</v>
      </c>
      <c r="G159" s="76">
        <v>0</v>
      </c>
      <c r="H159" s="76">
        <v>0</v>
      </c>
      <c r="I159" s="76">
        <v>0</v>
      </c>
      <c r="J159" s="94" t="s">
        <v>568</v>
      </c>
      <c r="K159" s="76">
        <v>0</v>
      </c>
      <c r="L159" s="94" t="s">
        <v>568</v>
      </c>
      <c r="M159" s="94" t="s">
        <v>568</v>
      </c>
      <c r="N159" s="76" t="s">
        <v>246</v>
      </c>
      <c r="O159" s="76" t="s">
        <v>291</v>
      </c>
    </row>
    <row r="160" spans="1:15" ht="30" hidden="1" customHeight="1" x14ac:dyDescent="0.25">
      <c r="A160" s="76">
        <v>2023</v>
      </c>
      <c r="B160" s="76" t="s">
        <v>107</v>
      </c>
      <c r="C160" s="82" t="s">
        <v>69</v>
      </c>
      <c r="D160" s="81" t="s">
        <v>59</v>
      </c>
      <c r="E160" s="76" t="s">
        <v>54</v>
      </c>
      <c r="F160" s="76" t="s">
        <v>202</v>
      </c>
      <c r="G160" s="76">
        <v>1</v>
      </c>
      <c r="H160" s="76">
        <v>0</v>
      </c>
      <c r="I160" s="76">
        <v>0</v>
      </c>
      <c r="J160" s="94" t="s">
        <v>568</v>
      </c>
      <c r="K160" s="76">
        <v>0</v>
      </c>
      <c r="L160" s="94" t="s">
        <v>568</v>
      </c>
      <c r="M160" s="76" t="s">
        <v>205</v>
      </c>
      <c r="N160" s="76" t="s">
        <v>246</v>
      </c>
      <c r="O160" s="76" t="s">
        <v>290</v>
      </c>
    </row>
    <row r="161" spans="1:15" ht="30" hidden="1" customHeight="1" x14ac:dyDescent="0.25">
      <c r="A161" s="76">
        <v>2023</v>
      </c>
      <c r="B161" s="76" t="s">
        <v>108</v>
      </c>
      <c r="C161" s="82" t="s">
        <v>83</v>
      </c>
      <c r="D161" s="80" t="s">
        <v>66</v>
      </c>
      <c r="E161" s="76" t="s">
        <v>55</v>
      </c>
      <c r="F161" s="76" t="s">
        <v>289</v>
      </c>
      <c r="G161" s="76">
        <v>1</v>
      </c>
      <c r="H161" s="76">
        <v>0</v>
      </c>
      <c r="I161" s="76">
        <v>0</v>
      </c>
      <c r="J161" s="94" t="s">
        <v>568</v>
      </c>
      <c r="K161" s="76">
        <v>0</v>
      </c>
      <c r="L161" s="94" t="s">
        <v>568</v>
      </c>
      <c r="M161" s="76" t="s">
        <v>213</v>
      </c>
      <c r="N161" s="76" t="s">
        <v>246</v>
      </c>
      <c r="O161" s="76" t="s">
        <v>272</v>
      </c>
    </row>
    <row r="162" spans="1:15" ht="30" hidden="1" customHeight="1" x14ac:dyDescent="0.25">
      <c r="A162" s="76">
        <v>2023</v>
      </c>
      <c r="B162" s="76" t="s">
        <v>109</v>
      </c>
      <c r="C162" s="82" t="s">
        <v>57</v>
      </c>
      <c r="D162" s="80" t="s">
        <v>53</v>
      </c>
      <c r="E162" s="76" t="s">
        <v>55</v>
      </c>
      <c r="F162" s="94" t="s">
        <v>568</v>
      </c>
      <c r="G162" s="76">
        <v>0</v>
      </c>
      <c r="H162" s="76">
        <v>0</v>
      </c>
      <c r="I162" s="76">
        <v>0</v>
      </c>
      <c r="J162" s="94" t="s">
        <v>568</v>
      </c>
      <c r="K162" s="76">
        <v>0</v>
      </c>
      <c r="L162" s="94" t="s">
        <v>568</v>
      </c>
      <c r="M162" s="94" t="s">
        <v>568</v>
      </c>
      <c r="N162" s="76" t="s">
        <v>246</v>
      </c>
      <c r="O162" s="76" t="s">
        <v>261</v>
      </c>
    </row>
    <row r="163" spans="1:15" ht="30" hidden="1" customHeight="1" x14ac:dyDescent="0.25">
      <c r="A163" s="76">
        <v>2023</v>
      </c>
      <c r="B163" s="76" t="s">
        <v>110</v>
      </c>
      <c r="C163" s="82" t="s">
        <v>58</v>
      </c>
      <c r="D163" s="81" t="s">
        <v>84</v>
      </c>
      <c r="E163" s="76" t="s">
        <v>54</v>
      </c>
      <c r="F163" s="94" t="s">
        <v>568</v>
      </c>
      <c r="G163" s="76">
        <v>0</v>
      </c>
      <c r="H163" s="76">
        <v>0</v>
      </c>
      <c r="I163" s="76">
        <v>0</v>
      </c>
      <c r="J163" s="94" t="s">
        <v>568</v>
      </c>
      <c r="K163" s="76">
        <v>0</v>
      </c>
      <c r="L163" s="94" t="s">
        <v>568</v>
      </c>
      <c r="M163" s="94" t="s">
        <v>568</v>
      </c>
      <c r="N163" s="76" t="s">
        <v>246</v>
      </c>
      <c r="O163" s="76" t="s">
        <v>271</v>
      </c>
    </row>
    <row r="164" spans="1:15" ht="30" hidden="1" customHeight="1" x14ac:dyDescent="0.25">
      <c r="A164" s="76">
        <v>2023</v>
      </c>
      <c r="B164" s="76" t="s">
        <v>111</v>
      </c>
      <c r="C164" s="82" t="s">
        <v>70</v>
      </c>
      <c r="D164" s="81" t="s">
        <v>68</v>
      </c>
      <c r="E164" s="76" t="s">
        <v>55</v>
      </c>
      <c r="F164" s="94" t="s">
        <v>568</v>
      </c>
      <c r="G164" s="76">
        <v>0</v>
      </c>
      <c r="H164" s="76">
        <v>0</v>
      </c>
      <c r="I164" s="76">
        <v>0</v>
      </c>
      <c r="J164" s="94" t="s">
        <v>568</v>
      </c>
      <c r="K164" s="76">
        <v>0</v>
      </c>
      <c r="L164" s="94" t="s">
        <v>568</v>
      </c>
      <c r="M164" s="94" t="s">
        <v>568</v>
      </c>
      <c r="N164" s="76" t="s">
        <v>246</v>
      </c>
      <c r="O164" s="76" t="s">
        <v>250</v>
      </c>
    </row>
    <row r="165" spans="1:15" ht="30" hidden="1" customHeight="1" x14ac:dyDescent="0.25">
      <c r="A165" s="76">
        <v>2023</v>
      </c>
      <c r="B165" s="76" t="s">
        <v>112</v>
      </c>
      <c r="C165" s="82" t="s">
        <v>71</v>
      </c>
      <c r="D165" s="80" t="s">
        <v>66</v>
      </c>
      <c r="E165" s="76" t="s">
        <v>54</v>
      </c>
      <c r="F165" s="76" t="s">
        <v>202</v>
      </c>
      <c r="G165" s="76">
        <v>0</v>
      </c>
      <c r="H165" s="76">
        <v>0</v>
      </c>
      <c r="I165" s="76">
        <v>0</v>
      </c>
      <c r="J165" s="94" t="s">
        <v>568</v>
      </c>
      <c r="K165" s="76">
        <v>0</v>
      </c>
      <c r="L165" s="94" t="s">
        <v>568</v>
      </c>
      <c r="M165" s="94" t="s">
        <v>568</v>
      </c>
      <c r="N165" s="76" t="s">
        <v>245</v>
      </c>
      <c r="O165" s="76" t="s">
        <v>299</v>
      </c>
    </row>
    <row r="166" spans="1:15" ht="30" hidden="1" customHeight="1" x14ac:dyDescent="0.25">
      <c r="A166" s="76">
        <v>2023</v>
      </c>
      <c r="B166" s="76" t="s">
        <v>113</v>
      </c>
      <c r="C166" s="82" t="s">
        <v>72</v>
      </c>
      <c r="D166" s="81" t="s">
        <v>59</v>
      </c>
      <c r="E166" s="76" t="s">
        <v>55</v>
      </c>
      <c r="F166" s="76" t="s">
        <v>300</v>
      </c>
      <c r="G166" s="76">
        <v>1</v>
      </c>
      <c r="H166" s="76">
        <v>0</v>
      </c>
      <c r="I166" s="76">
        <v>0</v>
      </c>
      <c r="J166" s="94" t="s">
        <v>568</v>
      </c>
      <c r="K166" s="76">
        <v>0</v>
      </c>
      <c r="L166" s="94" t="s">
        <v>568</v>
      </c>
      <c r="M166" s="76" t="s">
        <v>292</v>
      </c>
      <c r="N166" s="76" t="s">
        <v>245</v>
      </c>
      <c r="O166" s="76" t="s">
        <v>253</v>
      </c>
    </row>
    <row r="167" spans="1:15" ht="30" hidden="1" customHeight="1" x14ac:dyDescent="0.25">
      <c r="A167" s="76">
        <v>2023</v>
      </c>
      <c r="B167" s="76" t="s">
        <v>114</v>
      </c>
      <c r="C167" s="82" t="s">
        <v>73</v>
      </c>
      <c r="D167" s="81" t="s">
        <v>161</v>
      </c>
      <c r="E167" s="76" t="s">
        <v>54</v>
      </c>
      <c r="F167" s="76" t="s">
        <v>287</v>
      </c>
      <c r="G167" s="76">
        <v>0</v>
      </c>
      <c r="H167" s="76">
        <v>0</v>
      </c>
      <c r="I167" s="76">
        <v>0</v>
      </c>
      <c r="J167" s="94" t="s">
        <v>568</v>
      </c>
      <c r="K167" s="76">
        <v>0</v>
      </c>
      <c r="L167" s="94" t="s">
        <v>568</v>
      </c>
      <c r="M167" s="94" t="s">
        <v>568</v>
      </c>
      <c r="N167" s="76" t="s">
        <v>245</v>
      </c>
      <c r="O167" s="76" t="s">
        <v>288</v>
      </c>
    </row>
    <row r="168" spans="1:15" ht="30" hidden="1" customHeight="1" x14ac:dyDescent="0.25">
      <c r="A168" s="76">
        <v>2023</v>
      </c>
      <c r="B168" s="76" t="s">
        <v>115</v>
      </c>
      <c r="C168" s="82" t="s">
        <v>74</v>
      </c>
      <c r="D168" s="80" t="s">
        <v>53</v>
      </c>
      <c r="E168" s="76" t="s">
        <v>55</v>
      </c>
      <c r="F168" s="94" t="s">
        <v>568</v>
      </c>
      <c r="G168" s="76">
        <v>0</v>
      </c>
      <c r="H168" s="76">
        <v>2</v>
      </c>
      <c r="I168" s="76">
        <v>0</v>
      </c>
      <c r="J168" s="94" t="s">
        <v>568</v>
      </c>
      <c r="K168" s="76">
        <v>0</v>
      </c>
      <c r="L168" s="94" t="s">
        <v>568</v>
      </c>
      <c r="M168" s="94" t="s">
        <v>568</v>
      </c>
      <c r="N168" s="76" t="s">
        <v>245</v>
      </c>
      <c r="O168" s="76" t="s">
        <v>272</v>
      </c>
    </row>
    <row r="169" spans="1:15" ht="30" hidden="1" customHeight="1" x14ac:dyDescent="0.25">
      <c r="A169" s="76">
        <v>2023</v>
      </c>
      <c r="B169" s="76" t="s">
        <v>116</v>
      </c>
      <c r="C169" s="82" t="s">
        <v>75</v>
      </c>
      <c r="D169" s="81" t="s">
        <v>84</v>
      </c>
      <c r="E169" s="76" t="s">
        <v>54</v>
      </c>
      <c r="F169" s="94" t="s">
        <v>568</v>
      </c>
      <c r="G169" s="76">
        <v>0</v>
      </c>
      <c r="H169" s="76">
        <v>0</v>
      </c>
      <c r="I169" s="76">
        <v>0</v>
      </c>
      <c r="J169" s="94" t="s">
        <v>568</v>
      </c>
      <c r="K169" s="76">
        <v>0</v>
      </c>
      <c r="L169" s="94" t="s">
        <v>568</v>
      </c>
      <c r="M169" s="94" t="s">
        <v>568</v>
      </c>
      <c r="N169" s="76" t="s">
        <v>245</v>
      </c>
      <c r="O169" s="76" t="s">
        <v>250</v>
      </c>
    </row>
    <row r="170" spans="1:15" ht="30" hidden="1" customHeight="1" x14ac:dyDescent="0.25">
      <c r="A170" s="76">
        <v>2023</v>
      </c>
      <c r="B170" s="76" t="s">
        <v>117</v>
      </c>
      <c r="C170" s="82" t="s">
        <v>62</v>
      </c>
      <c r="D170" s="78" t="s">
        <v>56</v>
      </c>
      <c r="E170" s="76" t="s">
        <v>55</v>
      </c>
      <c r="F170" s="76" t="s">
        <v>278</v>
      </c>
      <c r="G170" s="76">
        <v>0</v>
      </c>
      <c r="H170" s="76">
        <v>1</v>
      </c>
      <c r="I170" s="76">
        <v>0</v>
      </c>
      <c r="J170" s="94" t="s">
        <v>568</v>
      </c>
      <c r="K170" s="76">
        <v>0</v>
      </c>
      <c r="L170" s="94" t="s">
        <v>568</v>
      </c>
      <c r="M170" s="94" t="s">
        <v>568</v>
      </c>
      <c r="N170" s="76" t="s">
        <v>245</v>
      </c>
      <c r="O170" s="76" t="s">
        <v>277</v>
      </c>
    </row>
    <row r="171" spans="1:15" ht="30" hidden="1" customHeight="1" x14ac:dyDescent="0.25">
      <c r="A171" s="76">
        <v>2023</v>
      </c>
      <c r="B171" s="76" t="s">
        <v>118</v>
      </c>
      <c r="C171" s="82" t="s">
        <v>76</v>
      </c>
      <c r="D171" s="81" t="s">
        <v>84</v>
      </c>
      <c r="E171" s="76" t="s">
        <v>54</v>
      </c>
      <c r="F171" s="94" t="s">
        <v>568</v>
      </c>
      <c r="G171" s="76">
        <v>0</v>
      </c>
      <c r="H171" s="76">
        <v>0</v>
      </c>
      <c r="I171" s="76">
        <v>0</v>
      </c>
      <c r="J171" s="94" t="s">
        <v>568</v>
      </c>
      <c r="K171" s="76">
        <v>0</v>
      </c>
      <c r="L171" s="94" t="s">
        <v>568</v>
      </c>
      <c r="M171" s="94" t="s">
        <v>568</v>
      </c>
      <c r="N171" s="76" t="s">
        <v>245</v>
      </c>
      <c r="O171" s="76" t="s">
        <v>261</v>
      </c>
    </row>
    <row r="172" spans="1:15" ht="30" hidden="1" customHeight="1" x14ac:dyDescent="0.25">
      <c r="A172" s="76">
        <v>2023</v>
      </c>
      <c r="B172" s="76" t="s">
        <v>119</v>
      </c>
      <c r="C172" s="82" t="s">
        <v>77</v>
      </c>
      <c r="D172" s="81" t="s">
        <v>84</v>
      </c>
      <c r="E172" s="76" t="s">
        <v>55</v>
      </c>
      <c r="F172" s="94" t="s">
        <v>568</v>
      </c>
      <c r="G172" s="76">
        <v>0</v>
      </c>
      <c r="H172" s="76">
        <v>0</v>
      </c>
      <c r="I172" s="76">
        <v>0</v>
      </c>
      <c r="J172" s="94" t="s">
        <v>568</v>
      </c>
      <c r="K172" s="76">
        <v>0</v>
      </c>
      <c r="L172" s="94" t="s">
        <v>568</v>
      </c>
      <c r="M172" s="94" t="s">
        <v>568</v>
      </c>
      <c r="N172" s="76" t="s">
        <v>245</v>
      </c>
      <c r="O172" s="76" t="s">
        <v>271</v>
      </c>
    </row>
    <row r="173" spans="1:15" ht="30" hidden="1" customHeight="1" x14ac:dyDescent="0.25">
      <c r="A173" s="76">
        <v>2023</v>
      </c>
      <c r="B173" s="76" t="s">
        <v>120</v>
      </c>
      <c r="C173" s="82" t="s">
        <v>78</v>
      </c>
      <c r="D173" s="81" t="s">
        <v>68</v>
      </c>
      <c r="E173" s="76" t="s">
        <v>54</v>
      </c>
      <c r="F173" s="94" t="s">
        <v>568</v>
      </c>
      <c r="G173" s="76">
        <v>0</v>
      </c>
      <c r="H173" s="76">
        <v>0</v>
      </c>
      <c r="I173" s="76">
        <v>0</v>
      </c>
      <c r="J173" s="94" t="s">
        <v>568</v>
      </c>
      <c r="K173" s="76">
        <v>0</v>
      </c>
      <c r="L173" s="94" t="s">
        <v>568</v>
      </c>
      <c r="M173" s="94" t="s">
        <v>568</v>
      </c>
      <c r="N173" s="76" t="s">
        <v>245</v>
      </c>
      <c r="O173" s="76" t="s">
        <v>432</v>
      </c>
    </row>
    <row r="174" spans="1:15" ht="30" hidden="1" customHeight="1" x14ac:dyDescent="0.25">
      <c r="A174" s="76">
        <v>2023</v>
      </c>
      <c r="B174" s="76" t="s">
        <v>121</v>
      </c>
      <c r="C174" s="82" t="s">
        <v>79</v>
      </c>
      <c r="D174" s="78" t="s">
        <v>56</v>
      </c>
      <c r="E174" s="76" t="s">
        <v>55</v>
      </c>
      <c r="F174" s="76" t="s">
        <v>285</v>
      </c>
      <c r="G174" s="76">
        <v>1</v>
      </c>
      <c r="H174" s="76">
        <v>0</v>
      </c>
      <c r="I174" s="76">
        <v>0</v>
      </c>
      <c r="J174" s="94" t="s">
        <v>568</v>
      </c>
      <c r="K174" s="76">
        <v>0</v>
      </c>
      <c r="L174" s="94" t="s">
        <v>568</v>
      </c>
      <c r="M174" s="76" t="s">
        <v>286</v>
      </c>
      <c r="N174" s="76" t="s">
        <v>245</v>
      </c>
      <c r="O174" s="76" t="s">
        <v>261</v>
      </c>
    </row>
    <row r="175" spans="1:15" ht="30" hidden="1" customHeight="1" x14ac:dyDescent="0.25">
      <c r="A175" s="76">
        <v>2023</v>
      </c>
      <c r="B175" s="76" t="s">
        <v>122</v>
      </c>
      <c r="C175" s="82" t="s">
        <v>80</v>
      </c>
      <c r="D175" s="81" t="s">
        <v>60</v>
      </c>
      <c r="E175" s="76" t="s">
        <v>54</v>
      </c>
      <c r="F175" s="94" t="s">
        <v>568</v>
      </c>
      <c r="G175" s="76">
        <v>0</v>
      </c>
      <c r="H175" s="76">
        <v>0</v>
      </c>
      <c r="I175" s="76">
        <v>0</v>
      </c>
      <c r="J175" s="94" t="s">
        <v>568</v>
      </c>
      <c r="K175" s="76">
        <v>0</v>
      </c>
      <c r="L175" s="94" t="s">
        <v>568</v>
      </c>
      <c r="M175" s="94" t="s">
        <v>568</v>
      </c>
      <c r="N175" s="76" t="s">
        <v>245</v>
      </c>
      <c r="O175" s="76" t="s">
        <v>264</v>
      </c>
    </row>
    <row r="176" spans="1:15" ht="30" hidden="1" customHeight="1" x14ac:dyDescent="0.25">
      <c r="A176" s="76">
        <v>2023</v>
      </c>
      <c r="B176" s="76" t="s">
        <v>123</v>
      </c>
      <c r="C176" s="82" t="s">
        <v>81</v>
      </c>
      <c r="D176" s="80" t="s">
        <v>66</v>
      </c>
      <c r="E176" s="76" t="s">
        <v>55</v>
      </c>
      <c r="F176" s="76" t="s">
        <v>211</v>
      </c>
      <c r="G176" s="76">
        <v>0</v>
      </c>
      <c r="H176" s="76">
        <v>0</v>
      </c>
      <c r="I176" s="76">
        <v>0</v>
      </c>
      <c r="J176" s="94" t="s">
        <v>568</v>
      </c>
      <c r="K176" s="76">
        <v>0</v>
      </c>
      <c r="L176" s="94" t="s">
        <v>568</v>
      </c>
      <c r="M176" s="94" t="s">
        <v>568</v>
      </c>
      <c r="N176" s="76" t="s">
        <v>245</v>
      </c>
      <c r="O176" s="76" t="s">
        <v>432</v>
      </c>
    </row>
    <row r="177" spans="1:15" ht="30" hidden="1" customHeight="1" x14ac:dyDescent="0.25">
      <c r="A177" s="76">
        <v>2023</v>
      </c>
      <c r="B177" s="76" t="s">
        <v>124</v>
      </c>
      <c r="C177" s="82" t="s">
        <v>82</v>
      </c>
      <c r="D177" s="78" t="s">
        <v>61</v>
      </c>
      <c r="E177" s="76" t="s">
        <v>54</v>
      </c>
      <c r="F177" s="76" t="s">
        <v>280</v>
      </c>
      <c r="G177" s="76">
        <v>0</v>
      </c>
      <c r="H177" s="76">
        <v>0</v>
      </c>
      <c r="I177" s="76">
        <v>0</v>
      </c>
      <c r="J177" s="94" t="s">
        <v>568</v>
      </c>
      <c r="K177" s="76">
        <v>0</v>
      </c>
      <c r="L177" s="94" t="s">
        <v>568</v>
      </c>
      <c r="M177" s="94" t="s">
        <v>568</v>
      </c>
      <c r="N177" s="76" t="s">
        <v>245</v>
      </c>
      <c r="O177" s="76" t="s">
        <v>271</v>
      </c>
    </row>
    <row r="178" spans="1:15" ht="30" hidden="1" customHeight="1" x14ac:dyDescent="0.25">
      <c r="A178" s="76">
        <v>2023</v>
      </c>
      <c r="B178" s="76" t="s">
        <v>125</v>
      </c>
      <c r="C178" s="82" t="s">
        <v>69</v>
      </c>
      <c r="D178" s="78" t="s">
        <v>56</v>
      </c>
      <c r="E178" s="76" t="s">
        <v>55</v>
      </c>
      <c r="F178" s="76" t="s">
        <v>282</v>
      </c>
      <c r="G178" s="76">
        <v>0</v>
      </c>
      <c r="H178" s="76">
        <v>0</v>
      </c>
      <c r="I178" s="76">
        <v>0</v>
      </c>
      <c r="J178" s="94" t="s">
        <v>568</v>
      </c>
      <c r="K178" s="76">
        <v>0</v>
      </c>
      <c r="L178" s="94" t="s">
        <v>568</v>
      </c>
      <c r="M178" s="94" t="s">
        <v>568</v>
      </c>
      <c r="N178" s="76" t="s">
        <v>245</v>
      </c>
      <c r="O178" s="76" t="s">
        <v>281</v>
      </c>
    </row>
    <row r="179" spans="1:15" ht="30" hidden="1" customHeight="1" thickBot="1" x14ac:dyDescent="0.3">
      <c r="A179" s="84">
        <v>2023</v>
      </c>
      <c r="B179" s="84" t="s">
        <v>126</v>
      </c>
      <c r="C179" s="88" t="s">
        <v>83</v>
      </c>
      <c r="D179" s="89" t="s">
        <v>68</v>
      </c>
      <c r="E179" s="84" t="s">
        <v>54</v>
      </c>
      <c r="F179" s="96" t="s">
        <v>568</v>
      </c>
      <c r="G179" s="84">
        <v>1</v>
      </c>
      <c r="H179" s="84">
        <v>0</v>
      </c>
      <c r="I179" s="84">
        <v>0</v>
      </c>
      <c r="J179" s="96" t="s">
        <v>568</v>
      </c>
      <c r="K179" s="84">
        <v>1</v>
      </c>
      <c r="L179" s="84" t="s">
        <v>577</v>
      </c>
      <c r="M179" s="84" t="s">
        <v>284</v>
      </c>
      <c r="N179" s="84" t="s">
        <v>245</v>
      </c>
      <c r="O179" s="84" t="s">
        <v>277</v>
      </c>
    </row>
    <row r="180" spans="1:15" ht="30" hidden="1" customHeight="1" x14ac:dyDescent="0.25">
      <c r="A180" s="76" t="s">
        <v>241</v>
      </c>
      <c r="B180" s="76" t="s">
        <v>91</v>
      </c>
      <c r="C180" s="82" t="s">
        <v>74</v>
      </c>
      <c r="D180" s="81" t="s">
        <v>84</v>
      </c>
      <c r="E180" s="76" t="s">
        <v>54</v>
      </c>
      <c r="F180" s="94" t="s">
        <v>568</v>
      </c>
      <c r="G180" s="77">
        <v>0</v>
      </c>
      <c r="H180" s="77">
        <v>0</v>
      </c>
      <c r="I180" s="77">
        <v>0</v>
      </c>
      <c r="J180" s="94" t="s">
        <v>568</v>
      </c>
      <c r="K180" s="77">
        <v>0</v>
      </c>
      <c r="L180" s="94" t="s">
        <v>568</v>
      </c>
      <c r="M180" s="94" t="s">
        <v>568</v>
      </c>
      <c r="N180" s="77" t="s">
        <v>245</v>
      </c>
      <c r="O180" s="77" t="s">
        <v>263</v>
      </c>
    </row>
    <row r="181" spans="1:15" ht="30" hidden="1" customHeight="1" x14ac:dyDescent="0.25">
      <c r="A181" s="76" t="s">
        <v>241</v>
      </c>
      <c r="B181" s="76" t="s">
        <v>92</v>
      </c>
      <c r="C181" s="82" t="s">
        <v>87</v>
      </c>
      <c r="D181" s="78" t="s">
        <v>56</v>
      </c>
      <c r="E181" s="76" t="s">
        <v>55</v>
      </c>
      <c r="F181" s="76" t="s">
        <v>210</v>
      </c>
      <c r="G181" s="76">
        <v>1</v>
      </c>
      <c r="H181" s="76">
        <v>0</v>
      </c>
      <c r="I181" s="76">
        <v>0</v>
      </c>
      <c r="J181" s="94" t="s">
        <v>568</v>
      </c>
      <c r="K181" s="76">
        <v>1</v>
      </c>
      <c r="L181" s="76" t="s">
        <v>577</v>
      </c>
      <c r="M181" s="76" t="s">
        <v>219</v>
      </c>
      <c r="N181" s="76" t="s">
        <v>245</v>
      </c>
      <c r="O181" s="76" t="s">
        <v>266</v>
      </c>
    </row>
    <row r="182" spans="1:15" ht="30" hidden="1" customHeight="1" x14ac:dyDescent="0.25">
      <c r="A182" s="76" t="s">
        <v>241</v>
      </c>
      <c r="B182" s="76" t="s">
        <v>93</v>
      </c>
      <c r="C182" s="82" t="s">
        <v>88</v>
      </c>
      <c r="D182" s="78" t="s">
        <v>85</v>
      </c>
      <c r="E182" s="76" t="s">
        <v>54</v>
      </c>
      <c r="F182" s="76" t="s">
        <v>208</v>
      </c>
      <c r="G182" s="76">
        <v>0</v>
      </c>
      <c r="H182" s="76">
        <v>0</v>
      </c>
      <c r="I182" s="76">
        <v>0</v>
      </c>
      <c r="J182" s="94" t="s">
        <v>568</v>
      </c>
      <c r="K182" s="76">
        <v>0</v>
      </c>
      <c r="L182" s="94" t="s">
        <v>568</v>
      </c>
      <c r="M182" s="94" t="s">
        <v>568</v>
      </c>
      <c r="N182" s="76" t="s">
        <v>245</v>
      </c>
      <c r="O182" s="76" t="s">
        <v>260</v>
      </c>
    </row>
    <row r="183" spans="1:15" ht="30" hidden="1" customHeight="1" x14ac:dyDescent="0.25">
      <c r="A183" s="76" t="s">
        <v>241</v>
      </c>
      <c r="B183" s="76" t="s">
        <v>94</v>
      </c>
      <c r="C183" s="82" t="s">
        <v>72</v>
      </c>
      <c r="D183" s="80" t="s">
        <v>86</v>
      </c>
      <c r="E183" s="76" t="s">
        <v>55</v>
      </c>
      <c r="F183" s="76" t="s">
        <v>207</v>
      </c>
      <c r="G183" s="76">
        <v>0</v>
      </c>
      <c r="H183" s="76">
        <v>0</v>
      </c>
      <c r="I183" s="76">
        <v>0</v>
      </c>
      <c r="J183" s="94" t="s">
        <v>568</v>
      </c>
      <c r="K183" s="76">
        <v>1</v>
      </c>
      <c r="L183" s="76" t="s">
        <v>577</v>
      </c>
      <c r="M183" s="94" t="s">
        <v>568</v>
      </c>
      <c r="N183" s="76" t="s">
        <v>245</v>
      </c>
      <c r="O183" s="76" t="s">
        <v>261</v>
      </c>
    </row>
    <row r="184" spans="1:15" ht="30" hidden="1" customHeight="1" x14ac:dyDescent="0.25">
      <c r="A184" s="76" t="s">
        <v>241</v>
      </c>
      <c r="B184" s="76" t="s">
        <v>95</v>
      </c>
      <c r="C184" s="82" t="s">
        <v>89</v>
      </c>
      <c r="D184" s="81" t="s">
        <v>59</v>
      </c>
      <c r="E184" s="76" t="s">
        <v>54</v>
      </c>
      <c r="F184" s="76" t="s">
        <v>211</v>
      </c>
      <c r="G184" s="76">
        <v>0</v>
      </c>
      <c r="H184" s="76">
        <v>1</v>
      </c>
      <c r="I184" s="76">
        <v>0</v>
      </c>
      <c r="J184" s="94" t="s">
        <v>568</v>
      </c>
      <c r="K184" s="76">
        <v>1</v>
      </c>
      <c r="L184" s="76" t="s">
        <v>577</v>
      </c>
      <c r="M184" s="94" t="s">
        <v>568</v>
      </c>
      <c r="N184" s="76" t="s">
        <v>245</v>
      </c>
      <c r="O184" s="76" t="s">
        <v>265</v>
      </c>
    </row>
    <row r="185" spans="1:15" ht="30" hidden="1" customHeight="1" x14ac:dyDescent="0.25">
      <c r="A185" s="76" t="s">
        <v>241</v>
      </c>
      <c r="B185" s="76" t="s">
        <v>96</v>
      </c>
      <c r="C185" s="82" t="s">
        <v>76</v>
      </c>
      <c r="D185" s="81" t="s">
        <v>59</v>
      </c>
      <c r="E185" s="76" t="s">
        <v>55</v>
      </c>
      <c r="F185" s="76" t="s">
        <v>202</v>
      </c>
      <c r="G185" s="76">
        <v>0</v>
      </c>
      <c r="H185" s="76">
        <v>0</v>
      </c>
      <c r="I185" s="76">
        <v>0</v>
      </c>
      <c r="J185" s="94" t="s">
        <v>568</v>
      </c>
      <c r="K185" s="76">
        <v>0</v>
      </c>
      <c r="L185" s="94" t="s">
        <v>568</v>
      </c>
      <c r="M185" s="94" t="s">
        <v>568</v>
      </c>
      <c r="N185" s="76" t="s">
        <v>245</v>
      </c>
      <c r="O185" s="76" t="s">
        <v>262</v>
      </c>
    </row>
    <row r="186" spans="1:15" ht="30" hidden="1" customHeight="1" x14ac:dyDescent="0.25">
      <c r="A186" s="76" t="s">
        <v>241</v>
      </c>
      <c r="B186" s="76" t="s">
        <v>97</v>
      </c>
      <c r="C186" s="82" t="s">
        <v>90</v>
      </c>
      <c r="D186" s="78" t="s">
        <v>56</v>
      </c>
      <c r="E186" s="76" t="s">
        <v>54</v>
      </c>
      <c r="F186" s="76" t="s">
        <v>227</v>
      </c>
      <c r="G186" s="76">
        <v>0</v>
      </c>
      <c r="H186" s="76">
        <v>1</v>
      </c>
      <c r="I186" s="76">
        <v>0</v>
      </c>
      <c r="J186" s="94" t="s">
        <v>568</v>
      </c>
      <c r="K186" s="76">
        <v>0</v>
      </c>
      <c r="L186" s="94" t="s">
        <v>568</v>
      </c>
      <c r="M186" s="94" t="s">
        <v>568</v>
      </c>
      <c r="N186" s="76" t="s">
        <v>245</v>
      </c>
      <c r="O186" s="76" t="s">
        <v>274</v>
      </c>
    </row>
    <row r="187" spans="1:15" ht="30" hidden="1" customHeight="1" x14ac:dyDescent="0.25">
      <c r="A187" s="76" t="s">
        <v>241</v>
      </c>
      <c r="B187" s="76" t="s">
        <v>98</v>
      </c>
      <c r="C187" s="82" t="s">
        <v>71</v>
      </c>
      <c r="D187" s="80" t="s">
        <v>53</v>
      </c>
      <c r="E187" s="76" t="s">
        <v>55</v>
      </c>
      <c r="F187" s="94" t="s">
        <v>568</v>
      </c>
      <c r="G187" s="76">
        <v>1</v>
      </c>
      <c r="H187" s="76">
        <v>0</v>
      </c>
      <c r="I187" s="76">
        <v>0</v>
      </c>
      <c r="J187" s="94" t="s">
        <v>568</v>
      </c>
      <c r="K187" s="76">
        <v>0</v>
      </c>
      <c r="L187" s="94" t="s">
        <v>568</v>
      </c>
      <c r="M187" s="76" t="s">
        <v>204</v>
      </c>
      <c r="N187" s="76" t="s">
        <v>245</v>
      </c>
      <c r="O187" s="76" t="s">
        <v>263</v>
      </c>
    </row>
    <row r="188" spans="1:15" ht="30" hidden="1" customHeight="1" x14ac:dyDescent="0.25">
      <c r="A188" s="76" t="s">
        <v>241</v>
      </c>
      <c r="B188" s="76" t="s">
        <v>99</v>
      </c>
      <c r="C188" s="82" t="s">
        <v>62</v>
      </c>
      <c r="D188" s="80" t="s">
        <v>66</v>
      </c>
      <c r="E188" s="76" t="s">
        <v>54</v>
      </c>
      <c r="F188" s="76" t="s">
        <v>209</v>
      </c>
      <c r="G188" s="76">
        <v>1</v>
      </c>
      <c r="H188" s="76">
        <v>0</v>
      </c>
      <c r="I188" s="76">
        <v>0</v>
      </c>
      <c r="J188" s="94" t="s">
        <v>568</v>
      </c>
      <c r="K188" s="76">
        <v>0</v>
      </c>
      <c r="L188" s="94" t="s">
        <v>568</v>
      </c>
      <c r="M188" s="76" t="s">
        <v>218</v>
      </c>
      <c r="N188" s="76" t="s">
        <v>245</v>
      </c>
      <c r="O188" s="76" t="s">
        <v>264</v>
      </c>
    </row>
    <row r="189" spans="1:15" ht="30" hidden="1" customHeight="1" x14ac:dyDescent="0.25">
      <c r="A189" s="76" t="s">
        <v>241</v>
      </c>
      <c r="B189" s="76" t="s">
        <v>134</v>
      </c>
      <c r="C189" s="82" t="s">
        <v>127</v>
      </c>
      <c r="D189" s="78" t="s">
        <v>61</v>
      </c>
      <c r="E189" s="76" t="s">
        <v>55</v>
      </c>
      <c r="F189" s="76" t="s">
        <v>206</v>
      </c>
      <c r="G189" s="76">
        <v>0</v>
      </c>
      <c r="H189" s="76">
        <v>0</v>
      </c>
      <c r="I189" s="76">
        <v>0</v>
      </c>
      <c r="J189" s="94" t="s">
        <v>568</v>
      </c>
      <c r="K189" s="76">
        <v>0</v>
      </c>
      <c r="L189" s="94" t="s">
        <v>568</v>
      </c>
      <c r="M189" s="94" t="s">
        <v>568</v>
      </c>
      <c r="N189" s="76" t="s">
        <v>245</v>
      </c>
      <c r="O189" s="76" t="s">
        <v>270</v>
      </c>
    </row>
    <row r="190" spans="1:15" ht="30" hidden="1" customHeight="1" x14ac:dyDescent="0.25">
      <c r="A190" s="76" t="s">
        <v>241</v>
      </c>
      <c r="B190" s="76" t="s">
        <v>101</v>
      </c>
      <c r="C190" s="82" t="s">
        <v>249</v>
      </c>
      <c r="D190" s="80" t="s">
        <v>66</v>
      </c>
      <c r="E190" s="76" t="s">
        <v>54</v>
      </c>
      <c r="F190" s="76" t="s">
        <v>205</v>
      </c>
      <c r="G190" s="76">
        <v>0</v>
      </c>
      <c r="H190" s="76">
        <v>0</v>
      </c>
      <c r="I190" s="76">
        <v>0</v>
      </c>
      <c r="J190" s="94" t="s">
        <v>568</v>
      </c>
      <c r="K190" s="76">
        <v>0</v>
      </c>
      <c r="L190" s="94" t="s">
        <v>568</v>
      </c>
      <c r="M190" s="94" t="s">
        <v>568</v>
      </c>
      <c r="N190" s="76" t="s">
        <v>245</v>
      </c>
      <c r="O190" s="76" t="s">
        <v>256</v>
      </c>
    </row>
    <row r="191" spans="1:15" ht="30" hidden="1" customHeight="1" x14ac:dyDescent="0.25">
      <c r="A191" s="76" t="s">
        <v>241</v>
      </c>
      <c r="B191" s="76" t="s">
        <v>102</v>
      </c>
      <c r="C191" s="82" t="s">
        <v>83</v>
      </c>
      <c r="D191" s="80" t="s">
        <v>53</v>
      </c>
      <c r="E191" s="76" t="s">
        <v>55</v>
      </c>
      <c r="F191" s="94" t="s">
        <v>568</v>
      </c>
      <c r="G191" s="76">
        <v>0</v>
      </c>
      <c r="H191" s="76">
        <v>2</v>
      </c>
      <c r="I191" s="76">
        <v>0</v>
      </c>
      <c r="J191" s="94" t="s">
        <v>568</v>
      </c>
      <c r="K191" s="76">
        <v>0</v>
      </c>
      <c r="L191" s="94" t="s">
        <v>568</v>
      </c>
      <c r="M191" s="94" t="s">
        <v>568</v>
      </c>
      <c r="N191" s="76" t="s">
        <v>245</v>
      </c>
      <c r="O191" s="76" t="s">
        <v>265</v>
      </c>
    </row>
    <row r="192" spans="1:15" ht="30" hidden="1" customHeight="1" x14ac:dyDescent="0.25">
      <c r="A192" s="76" t="s">
        <v>241</v>
      </c>
      <c r="B192" s="76" t="s">
        <v>103</v>
      </c>
      <c r="C192" s="82" t="s">
        <v>128</v>
      </c>
      <c r="D192" s="80" t="s">
        <v>53</v>
      </c>
      <c r="E192" s="76" t="s">
        <v>54</v>
      </c>
      <c r="F192" s="94" t="s">
        <v>568</v>
      </c>
      <c r="G192" s="76">
        <v>1</v>
      </c>
      <c r="H192" s="76">
        <v>0</v>
      </c>
      <c r="I192" s="76">
        <v>0</v>
      </c>
      <c r="J192" s="94" t="s">
        <v>568</v>
      </c>
      <c r="K192" s="76">
        <v>0</v>
      </c>
      <c r="L192" s="94" t="s">
        <v>568</v>
      </c>
      <c r="M192" s="76" t="s">
        <v>219</v>
      </c>
      <c r="N192" s="76" t="s">
        <v>245</v>
      </c>
      <c r="O192" s="76" t="s">
        <v>266</v>
      </c>
    </row>
    <row r="193" spans="1:15" ht="30" hidden="1" customHeight="1" x14ac:dyDescent="0.25">
      <c r="A193" s="76" t="s">
        <v>241</v>
      </c>
      <c r="B193" s="76" t="s">
        <v>104</v>
      </c>
      <c r="C193" s="82" t="s">
        <v>81</v>
      </c>
      <c r="D193" s="81" t="s">
        <v>59</v>
      </c>
      <c r="E193" s="76" t="s">
        <v>55</v>
      </c>
      <c r="F193" s="76" t="s">
        <v>204</v>
      </c>
      <c r="G193" s="76">
        <v>0</v>
      </c>
      <c r="H193" s="76">
        <v>0</v>
      </c>
      <c r="I193" s="76">
        <v>0</v>
      </c>
      <c r="J193" s="94" t="s">
        <v>568</v>
      </c>
      <c r="K193" s="76">
        <v>0</v>
      </c>
      <c r="L193" s="94" t="s">
        <v>568</v>
      </c>
      <c r="M193" s="94" t="s">
        <v>568</v>
      </c>
      <c r="N193" s="76" t="s">
        <v>245</v>
      </c>
      <c r="O193" s="76" t="s">
        <v>270</v>
      </c>
    </row>
    <row r="194" spans="1:15" ht="30" hidden="1" customHeight="1" x14ac:dyDescent="0.25">
      <c r="A194" s="76" t="s">
        <v>241</v>
      </c>
      <c r="B194" s="76" t="s">
        <v>105</v>
      </c>
      <c r="C194" s="82" t="s">
        <v>75</v>
      </c>
      <c r="D194" s="80" t="s">
        <v>53</v>
      </c>
      <c r="E194" s="76" t="s">
        <v>54</v>
      </c>
      <c r="F194" s="94" t="s">
        <v>568</v>
      </c>
      <c r="G194" s="76">
        <v>0</v>
      </c>
      <c r="H194" s="76">
        <v>0</v>
      </c>
      <c r="I194" s="76">
        <v>0</v>
      </c>
      <c r="J194" s="94" t="s">
        <v>568</v>
      </c>
      <c r="K194" s="76">
        <v>0</v>
      </c>
      <c r="L194" s="94" t="s">
        <v>568</v>
      </c>
      <c r="M194" s="94" t="s">
        <v>568</v>
      </c>
      <c r="N194" s="76" t="s">
        <v>245</v>
      </c>
      <c r="O194" s="76" t="s">
        <v>256</v>
      </c>
    </row>
    <row r="195" spans="1:15" ht="30" hidden="1" customHeight="1" x14ac:dyDescent="0.25">
      <c r="A195" s="76" t="s">
        <v>241</v>
      </c>
      <c r="B195" s="76" t="s">
        <v>106</v>
      </c>
      <c r="C195" s="82" t="s">
        <v>58</v>
      </c>
      <c r="D195" s="80" t="s">
        <v>66</v>
      </c>
      <c r="E195" s="76" t="s">
        <v>55</v>
      </c>
      <c r="F195" s="76" t="s">
        <v>211</v>
      </c>
      <c r="G195" s="76">
        <v>1</v>
      </c>
      <c r="H195" s="76">
        <v>0</v>
      </c>
      <c r="I195" s="76">
        <v>0</v>
      </c>
      <c r="J195" s="94" t="s">
        <v>568</v>
      </c>
      <c r="K195" s="76">
        <v>1</v>
      </c>
      <c r="L195" s="76" t="s">
        <v>575</v>
      </c>
      <c r="M195" s="76" t="s">
        <v>214</v>
      </c>
      <c r="N195" s="76" t="s">
        <v>245</v>
      </c>
      <c r="O195" s="76" t="s">
        <v>264</v>
      </c>
    </row>
    <row r="196" spans="1:15" ht="30" hidden="1" customHeight="1" x14ac:dyDescent="0.25">
      <c r="A196" s="76" t="s">
        <v>241</v>
      </c>
      <c r="B196" s="76" t="s">
        <v>107</v>
      </c>
      <c r="C196" s="82" t="s">
        <v>129</v>
      </c>
      <c r="D196" s="80" t="s">
        <v>66</v>
      </c>
      <c r="E196" s="76" t="s">
        <v>54</v>
      </c>
      <c r="F196" s="76" t="s">
        <v>213</v>
      </c>
      <c r="G196" s="76">
        <v>0</v>
      </c>
      <c r="H196" s="76">
        <v>0</v>
      </c>
      <c r="I196" s="76">
        <v>0</v>
      </c>
      <c r="J196" s="94" t="s">
        <v>568</v>
      </c>
      <c r="K196" s="76">
        <v>0</v>
      </c>
      <c r="L196" s="94" t="s">
        <v>568</v>
      </c>
      <c r="M196" s="94" t="s">
        <v>568</v>
      </c>
      <c r="N196" s="76" t="s">
        <v>245</v>
      </c>
      <c r="O196" s="76" t="s">
        <v>267</v>
      </c>
    </row>
    <row r="197" spans="1:15" ht="30" hidden="1" customHeight="1" x14ac:dyDescent="0.25">
      <c r="A197" s="76" t="s">
        <v>241</v>
      </c>
      <c r="B197" s="76" t="s">
        <v>108</v>
      </c>
      <c r="C197" s="82" t="s">
        <v>57</v>
      </c>
      <c r="D197" s="81" t="s">
        <v>84</v>
      </c>
      <c r="E197" s="76" t="s">
        <v>55</v>
      </c>
      <c r="F197" s="94" t="s">
        <v>568</v>
      </c>
      <c r="G197" s="76">
        <v>1</v>
      </c>
      <c r="H197" s="76">
        <v>1</v>
      </c>
      <c r="I197" s="76">
        <v>0</v>
      </c>
      <c r="J197" s="94" t="s">
        <v>568</v>
      </c>
      <c r="K197" s="76">
        <v>0</v>
      </c>
      <c r="L197" s="94" t="s">
        <v>568</v>
      </c>
      <c r="M197" s="76" t="s">
        <v>202</v>
      </c>
      <c r="N197" s="76" t="s">
        <v>245</v>
      </c>
      <c r="O197" s="76" t="s">
        <v>254</v>
      </c>
    </row>
    <row r="198" spans="1:15" ht="30" hidden="1" customHeight="1" x14ac:dyDescent="0.25">
      <c r="A198" s="76" t="s">
        <v>241</v>
      </c>
      <c r="B198" s="76" t="s">
        <v>109</v>
      </c>
      <c r="C198" s="82" t="s">
        <v>130</v>
      </c>
      <c r="D198" s="80" t="s">
        <v>53</v>
      </c>
      <c r="E198" s="76" t="s">
        <v>54</v>
      </c>
      <c r="F198" s="94" t="s">
        <v>568</v>
      </c>
      <c r="G198" s="76">
        <v>0</v>
      </c>
      <c r="H198" s="76">
        <v>0</v>
      </c>
      <c r="I198" s="76">
        <v>0</v>
      </c>
      <c r="J198" s="94" t="s">
        <v>568</v>
      </c>
      <c r="K198" s="76">
        <v>0</v>
      </c>
      <c r="L198" s="94" t="s">
        <v>568</v>
      </c>
      <c r="M198" s="94" t="s">
        <v>568</v>
      </c>
      <c r="N198" s="76" t="s">
        <v>245</v>
      </c>
      <c r="O198" s="76" t="s">
        <v>265</v>
      </c>
    </row>
    <row r="199" spans="1:15" ht="30" hidden="1" customHeight="1" x14ac:dyDescent="0.25">
      <c r="A199" s="76" t="s">
        <v>241</v>
      </c>
      <c r="B199" s="76" t="s">
        <v>110</v>
      </c>
      <c r="C199" s="82" t="s">
        <v>131</v>
      </c>
      <c r="D199" s="78" t="s">
        <v>61</v>
      </c>
      <c r="E199" s="76" t="s">
        <v>55</v>
      </c>
      <c r="F199" s="76" t="s">
        <v>215</v>
      </c>
      <c r="G199" s="76">
        <v>2</v>
      </c>
      <c r="H199" s="76">
        <v>0</v>
      </c>
      <c r="I199" s="76">
        <v>0</v>
      </c>
      <c r="J199" s="94" t="s">
        <v>568</v>
      </c>
      <c r="K199" s="76">
        <v>0</v>
      </c>
      <c r="L199" s="94" t="s">
        <v>568</v>
      </c>
      <c r="M199" s="76" t="s">
        <v>217</v>
      </c>
      <c r="N199" s="76" t="s">
        <v>245</v>
      </c>
      <c r="O199" s="76" t="s">
        <v>261</v>
      </c>
    </row>
    <row r="200" spans="1:15" ht="30" hidden="1" customHeight="1" x14ac:dyDescent="0.25">
      <c r="A200" s="76" t="s">
        <v>241</v>
      </c>
      <c r="B200" s="76" t="s">
        <v>111</v>
      </c>
      <c r="C200" s="82" t="s">
        <v>80</v>
      </c>
      <c r="D200" s="81" t="s">
        <v>60</v>
      </c>
      <c r="E200" s="76" t="s">
        <v>54</v>
      </c>
      <c r="F200" s="94" t="s">
        <v>568</v>
      </c>
      <c r="G200" s="76">
        <v>1</v>
      </c>
      <c r="H200" s="76">
        <v>0</v>
      </c>
      <c r="I200" s="76">
        <v>0</v>
      </c>
      <c r="J200" s="94" t="s">
        <v>568</v>
      </c>
      <c r="K200" s="76">
        <v>1</v>
      </c>
      <c r="L200" s="76" t="s">
        <v>577</v>
      </c>
      <c r="M200" s="76" t="s">
        <v>220</v>
      </c>
      <c r="N200" s="76" t="s">
        <v>245</v>
      </c>
      <c r="O200" s="76" t="s">
        <v>263</v>
      </c>
    </row>
    <row r="201" spans="1:15" ht="30" hidden="1" customHeight="1" x14ac:dyDescent="0.25">
      <c r="A201" s="76" t="s">
        <v>241</v>
      </c>
      <c r="B201" s="76" t="s">
        <v>112</v>
      </c>
      <c r="C201" s="82" t="s">
        <v>132</v>
      </c>
      <c r="D201" s="81" t="s">
        <v>67</v>
      </c>
      <c r="E201" s="76" t="s">
        <v>55</v>
      </c>
      <c r="F201" s="76" t="s">
        <v>200</v>
      </c>
      <c r="G201" s="76">
        <v>1</v>
      </c>
      <c r="H201" s="76">
        <v>0</v>
      </c>
      <c r="I201" s="76">
        <v>1</v>
      </c>
      <c r="J201" s="95" t="s">
        <v>576</v>
      </c>
      <c r="K201" s="76">
        <v>0</v>
      </c>
      <c r="L201" s="94" t="s">
        <v>568</v>
      </c>
      <c r="M201" s="76" t="s">
        <v>215</v>
      </c>
      <c r="N201" s="76" t="s">
        <v>245</v>
      </c>
      <c r="O201" s="76" t="s">
        <v>259</v>
      </c>
    </row>
    <row r="202" spans="1:15" ht="30" hidden="1" customHeight="1" x14ac:dyDescent="0.25">
      <c r="A202" s="76" t="s">
        <v>241</v>
      </c>
      <c r="B202" s="76" t="s">
        <v>113</v>
      </c>
      <c r="C202" s="82" t="s">
        <v>133</v>
      </c>
      <c r="D202" s="81" t="s">
        <v>84</v>
      </c>
      <c r="E202" s="76" t="s">
        <v>54</v>
      </c>
      <c r="F202" s="94" t="s">
        <v>568</v>
      </c>
      <c r="G202" s="76">
        <v>2</v>
      </c>
      <c r="H202" s="76">
        <v>0</v>
      </c>
      <c r="I202" s="76">
        <v>0</v>
      </c>
      <c r="J202" s="94" t="s">
        <v>568</v>
      </c>
      <c r="K202" s="76">
        <v>0</v>
      </c>
      <c r="L202" s="94" t="s">
        <v>568</v>
      </c>
      <c r="M202" s="76" t="s">
        <v>203</v>
      </c>
      <c r="N202" s="76" t="s">
        <v>245</v>
      </c>
      <c r="O202" s="76" t="s">
        <v>268</v>
      </c>
    </row>
    <row r="203" spans="1:15" ht="30" hidden="1" customHeight="1" thickBot="1" x14ac:dyDescent="0.3">
      <c r="A203" s="84" t="s">
        <v>241</v>
      </c>
      <c r="B203" s="84" t="s">
        <v>114</v>
      </c>
      <c r="C203" s="88" t="s">
        <v>82</v>
      </c>
      <c r="D203" s="90" t="s">
        <v>53</v>
      </c>
      <c r="E203" s="84" t="s">
        <v>55</v>
      </c>
      <c r="F203" s="96" t="s">
        <v>568</v>
      </c>
      <c r="G203" s="84">
        <v>0</v>
      </c>
      <c r="H203" s="84">
        <v>1</v>
      </c>
      <c r="I203" s="84">
        <v>0</v>
      </c>
      <c r="J203" s="96" t="s">
        <v>568</v>
      </c>
      <c r="K203" s="84">
        <v>0</v>
      </c>
      <c r="L203" s="96" t="s">
        <v>568</v>
      </c>
      <c r="M203" s="96" t="s">
        <v>568</v>
      </c>
      <c r="N203" s="84" t="s">
        <v>245</v>
      </c>
      <c r="O203" s="84" t="s">
        <v>254</v>
      </c>
    </row>
    <row r="204" spans="1:15" ht="30" hidden="1" customHeight="1" x14ac:dyDescent="0.25">
      <c r="A204" s="76" t="s">
        <v>242</v>
      </c>
      <c r="B204" s="76" t="s">
        <v>91</v>
      </c>
      <c r="C204" s="82" t="s">
        <v>74</v>
      </c>
      <c r="D204" s="78" t="s">
        <v>61</v>
      </c>
      <c r="E204" s="76" t="s">
        <v>55</v>
      </c>
      <c r="F204" s="76" t="s">
        <v>216</v>
      </c>
      <c r="G204" s="76">
        <v>0</v>
      </c>
      <c r="H204" s="76">
        <v>0</v>
      </c>
      <c r="I204" s="76">
        <v>0</v>
      </c>
      <c r="J204" s="94" t="s">
        <v>568</v>
      </c>
      <c r="K204" s="76">
        <v>0</v>
      </c>
      <c r="L204" s="94" t="s">
        <v>568</v>
      </c>
      <c r="M204" s="94" t="s">
        <v>568</v>
      </c>
      <c r="N204" s="77" t="s">
        <v>245</v>
      </c>
      <c r="O204" s="77" t="s">
        <v>275</v>
      </c>
    </row>
    <row r="205" spans="1:15" ht="30" hidden="1" customHeight="1" x14ac:dyDescent="0.25">
      <c r="A205" s="76" t="s">
        <v>242</v>
      </c>
      <c r="B205" s="76" t="s">
        <v>92</v>
      </c>
      <c r="C205" s="82" t="s">
        <v>87</v>
      </c>
      <c r="D205" s="91" t="s">
        <v>53</v>
      </c>
      <c r="E205" s="76" t="s">
        <v>54</v>
      </c>
      <c r="F205" s="94" t="s">
        <v>568</v>
      </c>
      <c r="G205" s="76">
        <v>0</v>
      </c>
      <c r="H205" s="76">
        <v>0</v>
      </c>
      <c r="I205" s="76">
        <v>0</v>
      </c>
      <c r="J205" s="94" t="s">
        <v>568</v>
      </c>
      <c r="K205" s="76">
        <v>0</v>
      </c>
      <c r="L205" s="94" t="s">
        <v>568</v>
      </c>
      <c r="M205" s="94" t="s">
        <v>568</v>
      </c>
      <c r="N205" s="76" t="s">
        <v>245</v>
      </c>
      <c r="O205" s="76" t="s">
        <v>265</v>
      </c>
    </row>
    <row r="206" spans="1:15" ht="30" hidden="1" customHeight="1" x14ac:dyDescent="0.25">
      <c r="A206" s="76" t="s">
        <v>242</v>
      </c>
      <c r="B206" s="76" t="s">
        <v>93</v>
      </c>
      <c r="C206" s="82" t="s">
        <v>88</v>
      </c>
      <c r="D206" s="78" t="s">
        <v>56</v>
      </c>
      <c r="E206" s="76" t="s">
        <v>55</v>
      </c>
      <c r="F206" s="76" t="s">
        <v>226</v>
      </c>
      <c r="G206" s="76">
        <v>0</v>
      </c>
      <c r="H206" s="76">
        <v>2</v>
      </c>
      <c r="I206" s="76">
        <v>0</v>
      </c>
      <c r="J206" s="94" t="s">
        <v>568</v>
      </c>
      <c r="K206" s="76">
        <v>0</v>
      </c>
      <c r="L206" s="94" t="s">
        <v>568</v>
      </c>
      <c r="M206" s="94" t="s">
        <v>568</v>
      </c>
      <c r="N206" s="76" t="s">
        <v>245</v>
      </c>
      <c r="O206" s="76" t="s">
        <v>267</v>
      </c>
    </row>
    <row r="207" spans="1:15" ht="30" hidden="1" customHeight="1" x14ac:dyDescent="0.25">
      <c r="A207" s="76" t="s">
        <v>242</v>
      </c>
      <c r="B207" s="76" t="s">
        <v>94</v>
      </c>
      <c r="C207" s="82" t="s">
        <v>72</v>
      </c>
      <c r="D207" s="78" t="s">
        <v>61</v>
      </c>
      <c r="E207" s="76" t="s">
        <v>54</v>
      </c>
      <c r="F207" s="76" t="s">
        <v>215</v>
      </c>
      <c r="G207" s="76">
        <v>0</v>
      </c>
      <c r="H207" s="76">
        <v>0</v>
      </c>
      <c r="I207" s="76">
        <v>0</v>
      </c>
      <c r="J207" s="94" t="s">
        <v>568</v>
      </c>
      <c r="K207" s="76">
        <v>1</v>
      </c>
      <c r="L207" s="76" t="s">
        <v>575</v>
      </c>
      <c r="M207" s="94" t="s">
        <v>568</v>
      </c>
      <c r="N207" s="76" t="s">
        <v>245</v>
      </c>
      <c r="O207" s="76" t="s">
        <v>253</v>
      </c>
    </row>
    <row r="208" spans="1:15" ht="30" hidden="1" customHeight="1" x14ac:dyDescent="0.25">
      <c r="A208" s="76" t="s">
        <v>242</v>
      </c>
      <c r="B208" s="76" t="s">
        <v>95</v>
      </c>
      <c r="C208" s="82" t="s">
        <v>89</v>
      </c>
      <c r="D208" s="80" t="s">
        <v>66</v>
      </c>
      <c r="E208" s="76" t="s">
        <v>55</v>
      </c>
      <c r="F208" s="76" t="s">
        <v>212</v>
      </c>
      <c r="G208" s="76">
        <v>0</v>
      </c>
      <c r="H208" s="76">
        <v>0</v>
      </c>
      <c r="I208" s="76">
        <v>0</v>
      </c>
      <c r="J208" s="94" t="s">
        <v>568</v>
      </c>
      <c r="K208" s="76">
        <v>0</v>
      </c>
      <c r="L208" s="94" t="s">
        <v>568</v>
      </c>
      <c r="M208" s="94" t="s">
        <v>568</v>
      </c>
      <c r="N208" s="76" t="s">
        <v>245</v>
      </c>
      <c r="O208" s="76" t="s">
        <v>256</v>
      </c>
    </row>
    <row r="209" spans="1:15" ht="30" hidden="1" customHeight="1" x14ac:dyDescent="0.25">
      <c r="A209" s="76" t="s">
        <v>242</v>
      </c>
      <c r="B209" s="76" t="s">
        <v>96</v>
      </c>
      <c r="C209" s="82" t="s">
        <v>76</v>
      </c>
      <c r="D209" s="81" t="s">
        <v>68</v>
      </c>
      <c r="E209" s="76" t="s">
        <v>54</v>
      </c>
      <c r="F209" s="94" t="s">
        <v>568</v>
      </c>
      <c r="G209" s="76">
        <v>0</v>
      </c>
      <c r="H209" s="76">
        <v>0</v>
      </c>
      <c r="I209" s="76">
        <v>0</v>
      </c>
      <c r="J209" s="94" t="s">
        <v>568</v>
      </c>
      <c r="K209" s="76">
        <v>0</v>
      </c>
      <c r="L209" s="94" t="s">
        <v>568</v>
      </c>
      <c r="M209" s="94" t="s">
        <v>568</v>
      </c>
      <c r="N209" s="76" t="s">
        <v>245</v>
      </c>
      <c r="O209" s="76" t="s">
        <v>250</v>
      </c>
    </row>
    <row r="210" spans="1:15" ht="30" hidden="1" customHeight="1" x14ac:dyDescent="0.25">
      <c r="A210" s="76" t="s">
        <v>242</v>
      </c>
      <c r="B210" s="76" t="s">
        <v>97</v>
      </c>
      <c r="C210" s="82" t="s">
        <v>90</v>
      </c>
      <c r="D210" s="80" t="s">
        <v>66</v>
      </c>
      <c r="E210" s="76" t="s">
        <v>55</v>
      </c>
      <c r="F210" s="76" t="s">
        <v>228</v>
      </c>
      <c r="G210" s="76">
        <v>1</v>
      </c>
      <c r="H210" s="76">
        <v>0</v>
      </c>
      <c r="I210" s="76">
        <v>0</v>
      </c>
      <c r="J210" s="94" t="s">
        <v>568</v>
      </c>
      <c r="K210" s="76">
        <v>0</v>
      </c>
      <c r="L210" s="94" t="s">
        <v>568</v>
      </c>
      <c r="M210" s="76" t="s">
        <v>212</v>
      </c>
      <c r="N210" s="76" t="s">
        <v>245</v>
      </c>
      <c r="O210" s="76" t="s">
        <v>276</v>
      </c>
    </row>
    <row r="211" spans="1:15" ht="30" hidden="1" customHeight="1" x14ac:dyDescent="0.25">
      <c r="A211" s="76" t="s">
        <v>242</v>
      </c>
      <c r="B211" s="76" t="s">
        <v>98</v>
      </c>
      <c r="C211" s="82" t="s">
        <v>71</v>
      </c>
      <c r="D211" s="91" t="s">
        <v>53</v>
      </c>
      <c r="E211" s="76" t="s">
        <v>54</v>
      </c>
      <c r="F211" s="94" t="s">
        <v>568</v>
      </c>
      <c r="G211" s="76">
        <v>0</v>
      </c>
      <c r="H211" s="76">
        <v>0</v>
      </c>
      <c r="I211" s="76">
        <v>0</v>
      </c>
      <c r="J211" s="94" t="s">
        <v>568</v>
      </c>
      <c r="K211" s="76">
        <v>0</v>
      </c>
      <c r="L211" s="94" t="s">
        <v>568</v>
      </c>
      <c r="M211" s="94" t="s">
        <v>568</v>
      </c>
      <c r="N211" s="76" t="s">
        <v>245</v>
      </c>
      <c r="O211" s="76" t="s">
        <v>253</v>
      </c>
    </row>
    <row r="212" spans="1:15" ht="30" hidden="1" customHeight="1" x14ac:dyDescent="0.25">
      <c r="A212" s="76" t="s">
        <v>242</v>
      </c>
      <c r="B212" s="76" t="s">
        <v>99</v>
      </c>
      <c r="C212" s="82" t="s">
        <v>62</v>
      </c>
      <c r="D212" s="81" t="s">
        <v>60</v>
      </c>
      <c r="E212" s="76" t="s">
        <v>55</v>
      </c>
      <c r="F212" s="94" t="s">
        <v>568</v>
      </c>
      <c r="G212" s="76">
        <v>2</v>
      </c>
      <c r="H212" s="76">
        <v>0</v>
      </c>
      <c r="I212" s="76">
        <v>0</v>
      </c>
      <c r="J212" s="94" t="s">
        <v>568</v>
      </c>
      <c r="K212" s="76">
        <v>2</v>
      </c>
      <c r="L212" s="76" t="s">
        <v>574</v>
      </c>
      <c r="M212" s="76" t="s">
        <v>232</v>
      </c>
      <c r="N212" s="76" t="s">
        <v>245</v>
      </c>
      <c r="O212" s="76" t="s">
        <v>274</v>
      </c>
    </row>
    <row r="213" spans="1:15" ht="30" hidden="1" customHeight="1" x14ac:dyDescent="0.25">
      <c r="A213" s="76" t="s">
        <v>242</v>
      </c>
      <c r="B213" s="76" t="s">
        <v>134</v>
      </c>
      <c r="C213" s="82" t="s">
        <v>127</v>
      </c>
      <c r="D213" s="81" t="s">
        <v>60</v>
      </c>
      <c r="E213" s="76" t="s">
        <v>54</v>
      </c>
      <c r="F213" s="94" t="s">
        <v>568</v>
      </c>
      <c r="G213" s="76">
        <v>0</v>
      </c>
      <c r="H213" s="76">
        <v>0</v>
      </c>
      <c r="I213" s="76">
        <v>0</v>
      </c>
      <c r="J213" s="94" t="s">
        <v>568</v>
      </c>
      <c r="K213" s="76">
        <v>0</v>
      </c>
      <c r="L213" s="94" t="s">
        <v>568</v>
      </c>
      <c r="M213" s="94" t="s">
        <v>568</v>
      </c>
      <c r="N213" s="76" t="s">
        <v>245</v>
      </c>
      <c r="O213" s="76" t="s">
        <v>269</v>
      </c>
    </row>
    <row r="214" spans="1:15" ht="30" hidden="1" customHeight="1" x14ac:dyDescent="0.25">
      <c r="A214" s="76" t="s">
        <v>242</v>
      </c>
      <c r="B214" s="76" t="s">
        <v>101</v>
      </c>
      <c r="C214" s="82" t="s">
        <v>249</v>
      </c>
      <c r="D214" s="81" t="s">
        <v>161</v>
      </c>
      <c r="E214" s="76" t="s">
        <v>55</v>
      </c>
      <c r="F214" s="76" t="s">
        <v>229</v>
      </c>
      <c r="G214" s="76">
        <v>0</v>
      </c>
      <c r="H214" s="76">
        <v>0</v>
      </c>
      <c r="I214" s="76">
        <v>0</v>
      </c>
      <c r="J214" s="94" t="s">
        <v>568</v>
      </c>
      <c r="K214" s="76">
        <v>0</v>
      </c>
      <c r="L214" s="94" t="s">
        <v>568</v>
      </c>
      <c r="M214" s="94" t="s">
        <v>568</v>
      </c>
      <c r="N214" s="76" t="s">
        <v>245</v>
      </c>
      <c r="O214" s="76" t="s">
        <v>255</v>
      </c>
    </row>
    <row r="215" spans="1:15" ht="30" hidden="1" customHeight="1" x14ac:dyDescent="0.25">
      <c r="A215" s="76" t="s">
        <v>242</v>
      </c>
      <c r="B215" s="76" t="s">
        <v>102</v>
      </c>
      <c r="C215" s="82" t="s">
        <v>83</v>
      </c>
      <c r="D215" s="91" t="s">
        <v>53</v>
      </c>
      <c r="E215" s="76" t="s">
        <v>54</v>
      </c>
      <c r="F215" s="94" t="s">
        <v>568</v>
      </c>
      <c r="G215" s="76">
        <v>0</v>
      </c>
      <c r="H215" s="76">
        <v>0</v>
      </c>
      <c r="I215" s="76">
        <v>0</v>
      </c>
      <c r="J215" s="94" t="s">
        <v>568</v>
      </c>
      <c r="K215" s="76">
        <v>0</v>
      </c>
      <c r="L215" s="94" t="s">
        <v>568</v>
      </c>
      <c r="M215" s="94" t="s">
        <v>568</v>
      </c>
      <c r="N215" s="76" t="s">
        <v>245</v>
      </c>
      <c r="O215" s="76" t="s">
        <v>250</v>
      </c>
    </row>
    <row r="216" spans="1:15" ht="30" hidden="1" customHeight="1" x14ac:dyDescent="0.25">
      <c r="A216" s="76" t="s">
        <v>242</v>
      </c>
      <c r="B216" s="76" t="s">
        <v>103</v>
      </c>
      <c r="C216" s="82" t="s">
        <v>128</v>
      </c>
      <c r="D216" s="78" t="s">
        <v>61</v>
      </c>
      <c r="E216" s="76" t="s">
        <v>55</v>
      </c>
      <c r="F216" s="76" t="s">
        <v>230</v>
      </c>
      <c r="G216" s="76">
        <v>0</v>
      </c>
      <c r="H216" s="76">
        <v>0</v>
      </c>
      <c r="I216" s="76">
        <v>0</v>
      </c>
      <c r="J216" s="94" t="s">
        <v>568</v>
      </c>
      <c r="K216" s="76">
        <v>0</v>
      </c>
      <c r="L216" s="94" t="s">
        <v>568</v>
      </c>
      <c r="M216" s="94" t="s">
        <v>568</v>
      </c>
      <c r="N216" s="76" t="s">
        <v>245</v>
      </c>
      <c r="O216" s="76" t="s">
        <v>256</v>
      </c>
    </row>
    <row r="217" spans="1:15" ht="30" hidden="1" customHeight="1" x14ac:dyDescent="0.25">
      <c r="A217" s="76" t="s">
        <v>242</v>
      </c>
      <c r="B217" s="76" t="s">
        <v>104</v>
      </c>
      <c r="C217" s="82" t="s">
        <v>81</v>
      </c>
      <c r="D217" s="81" t="s">
        <v>84</v>
      </c>
      <c r="E217" s="76" t="s">
        <v>54</v>
      </c>
      <c r="F217" s="94" t="s">
        <v>568</v>
      </c>
      <c r="G217" s="76">
        <v>0</v>
      </c>
      <c r="H217" s="76">
        <v>0</v>
      </c>
      <c r="I217" s="76">
        <v>0</v>
      </c>
      <c r="J217" s="94" t="s">
        <v>568</v>
      </c>
      <c r="K217" s="76">
        <v>0</v>
      </c>
      <c r="L217" s="94" t="s">
        <v>568</v>
      </c>
      <c r="M217" s="94" t="s">
        <v>568</v>
      </c>
      <c r="N217" s="76" t="s">
        <v>245</v>
      </c>
      <c r="O217" s="76" t="s">
        <v>269</v>
      </c>
    </row>
    <row r="218" spans="1:15" ht="30" hidden="1" customHeight="1" x14ac:dyDescent="0.25">
      <c r="A218" s="76" t="s">
        <v>242</v>
      </c>
      <c r="B218" s="76" t="s">
        <v>105</v>
      </c>
      <c r="C218" s="82" t="s">
        <v>75</v>
      </c>
      <c r="D218" s="78" t="s">
        <v>85</v>
      </c>
      <c r="E218" s="76" t="s">
        <v>55</v>
      </c>
      <c r="F218" s="76" t="s">
        <v>231</v>
      </c>
      <c r="G218" s="76">
        <v>0</v>
      </c>
      <c r="H218" s="76">
        <v>1</v>
      </c>
      <c r="I218" s="76">
        <v>0</v>
      </c>
      <c r="J218" s="94" t="s">
        <v>568</v>
      </c>
      <c r="K218" s="76">
        <v>0</v>
      </c>
      <c r="L218" s="94" t="s">
        <v>568</v>
      </c>
      <c r="M218" s="94" t="s">
        <v>568</v>
      </c>
      <c r="N218" s="76" t="s">
        <v>245</v>
      </c>
      <c r="O218" s="76" t="s">
        <v>270</v>
      </c>
    </row>
    <row r="219" spans="1:15" ht="30" hidden="1" customHeight="1" x14ac:dyDescent="0.25">
      <c r="A219" s="76" t="s">
        <v>242</v>
      </c>
      <c r="B219" s="76" t="s">
        <v>106</v>
      </c>
      <c r="C219" s="82" t="s">
        <v>58</v>
      </c>
      <c r="D219" s="78" t="s">
        <v>61</v>
      </c>
      <c r="E219" s="76" t="s">
        <v>54</v>
      </c>
      <c r="F219" s="76" t="s">
        <v>214</v>
      </c>
      <c r="G219" s="76">
        <v>0</v>
      </c>
      <c r="H219" s="76">
        <v>0</v>
      </c>
      <c r="I219" s="76">
        <v>0</v>
      </c>
      <c r="J219" s="94" t="s">
        <v>568</v>
      </c>
      <c r="K219" s="76">
        <v>0</v>
      </c>
      <c r="L219" s="94" t="s">
        <v>568</v>
      </c>
      <c r="M219" s="94" t="s">
        <v>568</v>
      </c>
      <c r="N219" s="76" t="s">
        <v>245</v>
      </c>
      <c r="O219" s="76" t="s">
        <v>265</v>
      </c>
    </row>
    <row r="220" spans="1:15" ht="30" hidden="1" customHeight="1" x14ac:dyDescent="0.25">
      <c r="A220" s="76" t="s">
        <v>242</v>
      </c>
      <c r="B220" s="76" t="s">
        <v>107</v>
      </c>
      <c r="C220" s="82" t="s">
        <v>129</v>
      </c>
      <c r="D220" s="81" t="s">
        <v>84</v>
      </c>
      <c r="E220" s="76" t="s">
        <v>55</v>
      </c>
      <c r="F220" s="94" t="s">
        <v>568</v>
      </c>
      <c r="G220" s="76">
        <v>0</v>
      </c>
      <c r="H220" s="76">
        <v>0</v>
      </c>
      <c r="I220" s="76">
        <v>0</v>
      </c>
      <c r="J220" s="94" t="s">
        <v>568</v>
      </c>
      <c r="K220" s="76">
        <v>0</v>
      </c>
      <c r="L220" s="94" t="s">
        <v>568</v>
      </c>
      <c r="M220" s="94" t="s">
        <v>568</v>
      </c>
      <c r="N220" s="76" t="s">
        <v>245</v>
      </c>
      <c r="O220" s="76" t="s">
        <v>279</v>
      </c>
    </row>
    <row r="221" spans="1:15" ht="30" hidden="1" customHeight="1" x14ac:dyDescent="0.25">
      <c r="A221" s="76" t="s">
        <v>242</v>
      </c>
      <c r="B221" s="76" t="s">
        <v>108</v>
      </c>
      <c r="C221" s="82" t="s">
        <v>57</v>
      </c>
      <c r="D221" s="81" t="s">
        <v>161</v>
      </c>
      <c r="E221" s="76" t="s">
        <v>54</v>
      </c>
      <c r="F221" s="76" t="s">
        <v>206</v>
      </c>
      <c r="G221" s="76">
        <v>0</v>
      </c>
      <c r="H221" s="76">
        <v>0</v>
      </c>
      <c r="I221" s="76">
        <v>0</v>
      </c>
      <c r="J221" s="94" t="s">
        <v>568</v>
      </c>
      <c r="K221" s="76">
        <v>0</v>
      </c>
      <c r="L221" s="94" t="s">
        <v>568</v>
      </c>
      <c r="M221" s="94" t="s">
        <v>568</v>
      </c>
      <c r="N221" s="76" t="s">
        <v>245</v>
      </c>
      <c r="O221" s="76" t="s">
        <v>253</v>
      </c>
    </row>
    <row r="222" spans="1:15" ht="30" hidden="1" customHeight="1" x14ac:dyDescent="0.25">
      <c r="A222" s="76" t="s">
        <v>242</v>
      </c>
      <c r="B222" s="76" t="s">
        <v>109</v>
      </c>
      <c r="C222" s="82" t="s">
        <v>130</v>
      </c>
      <c r="D222" s="91" t="s">
        <v>53</v>
      </c>
      <c r="E222" s="76" t="s">
        <v>55</v>
      </c>
      <c r="F222" s="94" t="s">
        <v>568</v>
      </c>
      <c r="G222" s="76">
        <v>0</v>
      </c>
      <c r="H222" s="76">
        <v>0</v>
      </c>
      <c r="I222" s="76">
        <v>0</v>
      </c>
      <c r="J222" s="94" t="s">
        <v>568</v>
      </c>
      <c r="K222" s="76">
        <v>0</v>
      </c>
      <c r="L222" s="94" t="s">
        <v>568</v>
      </c>
      <c r="M222" s="94" t="s">
        <v>568</v>
      </c>
      <c r="N222" s="76" t="s">
        <v>245</v>
      </c>
      <c r="O222" s="76" t="s">
        <v>254</v>
      </c>
    </row>
    <row r="223" spans="1:15" ht="30" hidden="1" customHeight="1" x14ac:dyDescent="0.25">
      <c r="A223" s="76" t="s">
        <v>242</v>
      </c>
      <c r="B223" s="76" t="s">
        <v>110</v>
      </c>
      <c r="C223" s="82" t="s">
        <v>131</v>
      </c>
      <c r="D223" s="78" t="s">
        <v>61</v>
      </c>
      <c r="E223" s="76" t="s">
        <v>54</v>
      </c>
      <c r="F223" s="76" t="s">
        <v>216</v>
      </c>
      <c r="G223" s="76">
        <v>0</v>
      </c>
      <c r="H223" s="76">
        <v>0</v>
      </c>
      <c r="I223" s="76">
        <v>0</v>
      </c>
      <c r="J223" s="94" t="s">
        <v>568</v>
      </c>
      <c r="K223" s="76">
        <v>0</v>
      </c>
      <c r="L223" s="94" t="s">
        <v>568</v>
      </c>
      <c r="M223" s="94" t="s">
        <v>568</v>
      </c>
      <c r="N223" s="76" t="s">
        <v>245</v>
      </c>
      <c r="O223" s="76" t="s">
        <v>276</v>
      </c>
    </row>
    <row r="224" spans="1:15" ht="30" hidden="1" customHeight="1" x14ac:dyDescent="0.25">
      <c r="A224" s="76" t="s">
        <v>242</v>
      </c>
      <c r="B224" s="76" t="s">
        <v>111</v>
      </c>
      <c r="C224" s="82" t="s">
        <v>80</v>
      </c>
      <c r="D224" s="91" t="s">
        <v>86</v>
      </c>
      <c r="E224" s="76" t="s">
        <v>55</v>
      </c>
      <c r="F224" s="76" t="s">
        <v>233</v>
      </c>
      <c r="G224" s="76">
        <v>0</v>
      </c>
      <c r="H224" s="76">
        <v>0</v>
      </c>
      <c r="I224" s="76">
        <v>0</v>
      </c>
      <c r="J224" s="94" t="s">
        <v>568</v>
      </c>
      <c r="K224" s="76">
        <v>0</v>
      </c>
      <c r="L224" s="94" t="s">
        <v>568</v>
      </c>
      <c r="M224" s="94" t="s">
        <v>568</v>
      </c>
      <c r="N224" s="76" t="s">
        <v>245</v>
      </c>
      <c r="O224" s="76" t="s">
        <v>250</v>
      </c>
    </row>
    <row r="225" spans="1:15" ht="30" hidden="1" customHeight="1" x14ac:dyDescent="0.25">
      <c r="A225" s="76" t="s">
        <v>242</v>
      </c>
      <c r="B225" s="76" t="s">
        <v>112</v>
      </c>
      <c r="C225" s="82" t="s">
        <v>132</v>
      </c>
      <c r="D225" s="91" t="s">
        <v>86</v>
      </c>
      <c r="E225" s="76" t="s">
        <v>54</v>
      </c>
      <c r="F225" s="76" t="s">
        <v>201</v>
      </c>
      <c r="G225" s="76">
        <v>1</v>
      </c>
      <c r="H225" s="76">
        <v>0</v>
      </c>
      <c r="I225" s="76">
        <v>0</v>
      </c>
      <c r="J225" s="94" t="s">
        <v>568</v>
      </c>
      <c r="K225" s="76">
        <v>0</v>
      </c>
      <c r="L225" s="94" t="s">
        <v>568</v>
      </c>
      <c r="M225" s="76" t="s">
        <v>234</v>
      </c>
      <c r="N225" s="76" t="s">
        <v>245</v>
      </c>
      <c r="O225" s="76" t="s">
        <v>264</v>
      </c>
    </row>
    <row r="226" spans="1:15" ht="30" hidden="1" customHeight="1" x14ac:dyDescent="0.25">
      <c r="A226" s="76" t="s">
        <v>242</v>
      </c>
      <c r="B226" s="76" t="s">
        <v>113</v>
      </c>
      <c r="C226" s="82" t="s">
        <v>133</v>
      </c>
      <c r="D226" s="78" t="s">
        <v>56</v>
      </c>
      <c r="E226" s="76" t="s">
        <v>55</v>
      </c>
      <c r="F226" s="76" t="s">
        <v>235</v>
      </c>
      <c r="G226" s="76">
        <v>0</v>
      </c>
      <c r="H226" s="76">
        <v>0</v>
      </c>
      <c r="I226" s="76">
        <v>0</v>
      </c>
      <c r="J226" s="94" t="s">
        <v>568</v>
      </c>
      <c r="K226" s="76">
        <v>0</v>
      </c>
      <c r="L226" s="94" t="s">
        <v>568</v>
      </c>
      <c r="M226" s="94" t="s">
        <v>568</v>
      </c>
      <c r="N226" s="76" t="s">
        <v>245</v>
      </c>
      <c r="O226" s="76" t="s">
        <v>258</v>
      </c>
    </row>
    <row r="227" spans="1:15" ht="30" hidden="1" customHeight="1" thickBot="1" x14ac:dyDescent="0.3">
      <c r="A227" s="84" t="s">
        <v>242</v>
      </c>
      <c r="B227" s="84" t="s">
        <v>114</v>
      </c>
      <c r="C227" s="88" t="s">
        <v>82</v>
      </c>
      <c r="D227" s="92" t="s">
        <v>59</v>
      </c>
      <c r="E227" s="84" t="s">
        <v>54</v>
      </c>
      <c r="F227" s="84" t="s">
        <v>202</v>
      </c>
      <c r="G227" s="84">
        <v>0</v>
      </c>
      <c r="H227" s="84">
        <v>0</v>
      </c>
      <c r="I227" s="84">
        <v>0</v>
      </c>
      <c r="J227" s="96" t="s">
        <v>568</v>
      </c>
      <c r="K227" s="84">
        <v>0</v>
      </c>
      <c r="L227" s="96" t="s">
        <v>568</v>
      </c>
      <c r="M227" s="96" t="s">
        <v>568</v>
      </c>
      <c r="N227" s="84" t="s">
        <v>245</v>
      </c>
      <c r="O227" s="84" t="s">
        <v>253</v>
      </c>
    </row>
    <row r="228" spans="1:15" ht="30" hidden="1" customHeight="1" x14ac:dyDescent="0.25">
      <c r="A228" s="77">
        <v>2025</v>
      </c>
      <c r="B228" s="77" t="s">
        <v>91</v>
      </c>
      <c r="C228" s="82" t="s">
        <v>249</v>
      </c>
      <c r="D228" s="81" t="s">
        <v>59</v>
      </c>
      <c r="E228" s="93" t="s">
        <v>55</v>
      </c>
      <c r="F228" s="77" t="s">
        <v>236</v>
      </c>
      <c r="G228" s="77">
        <v>0</v>
      </c>
      <c r="H228" s="77">
        <v>0</v>
      </c>
      <c r="I228" s="77">
        <v>0</v>
      </c>
      <c r="J228" s="94" t="s">
        <v>568</v>
      </c>
      <c r="K228" s="76">
        <v>0</v>
      </c>
      <c r="L228" s="94" t="s">
        <v>568</v>
      </c>
      <c r="M228" s="94" t="s">
        <v>568</v>
      </c>
      <c r="N228" s="77" t="s">
        <v>245</v>
      </c>
      <c r="O228" s="77" t="s">
        <v>254</v>
      </c>
    </row>
    <row r="229" spans="1:15" ht="30" hidden="1" customHeight="1" x14ac:dyDescent="0.25">
      <c r="A229" s="76">
        <v>2025</v>
      </c>
      <c r="B229" s="76" t="s">
        <v>92</v>
      </c>
      <c r="C229" s="82" t="s">
        <v>57</v>
      </c>
      <c r="D229" s="81" t="s">
        <v>161</v>
      </c>
      <c r="E229" s="93" t="s">
        <v>54</v>
      </c>
      <c r="F229" s="76" t="s">
        <v>238</v>
      </c>
      <c r="G229" s="76">
        <v>2</v>
      </c>
      <c r="H229" s="76">
        <v>1</v>
      </c>
      <c r="I229" s="76">
        <v>0</v>
      </c>
      <c r="J229" s="94" t="s">
        <v>568</v>
      </c>
      <c r="K229" s="76">
        <v>0</v>
      </c>
      <c r="L229" s="94" t="s">
        <v>568</v>
      </c>
      <c r="M229" s="76" t="s">
        <v>237</v>
      </c>
      <c r="N229" s="76" t="s">
        <v>245</v>
      </c>
      <c r="O229" s="76" t="s">
        <v>257</v>
      </c>
    </row>
    <row r="230" spans="1:15" ht="30" hidden="1" customHeight="1" x14ac:dyDescent="0.25">
      <c r="A230" s="76">
        <v>2025</v>
      </c>
      <c r="B230" s="76" t="s">
        <v>93</v>
      </c>
      <c r="C230" s="82" t="s">
        <v>62</v>
      </c>
      <c r="D230" s="81" t="s">
        <v>161</v>
      </c>
      <c r="E230" s="93" t="s">
        <v>55</v>
      </c>
      <c r="F230" s="76" t="s">
        <v>230</v>
      </c>
      <c r="G230" s="76">
        <v>0</v>
      </c>
      <c r="H230" s="76">
        <v>0</v>
      </c>
      <c r="I230" s="76">
        <v>0</v>
      </c>
      <c r="J230" s="94" t="s">
        <v>568</v>
      </c>
      <c r="K230" s="76">
        <v>0</v>
      </c>
      <c r="L230" s="94" t="s">
        <v>568</v>
      </c>
      <c r="M230" s="94" t="s">
        <v>568</v>
      </c>
      <c r="N230" s="76" t="s">
        <v>245</v>
      </c>
      <c r="O230" s="76" t="s">
        <v>256</v>
      </c>
    </row>
    <row r="231" spans="1:15" ht="30" hidden="1" customHeight="1" x14ac:dyDescent="0.25">
      <c r="A231" s="76">
        <v>2025</v>
      </c>
      <c r="B231" s="76" t="s">
        <v>94</v>
      </c>
      <c r="C231" s="82" t="s">
        <v>191</v>
      </c>
      <c r="D231" s="80" t="s">
        <v>66</v>
      </c>
      <c r="E231" s="93" t="s">
        <v>54</v>
      </c>
      <c r="F231" s="76" t="s">
        <v>240</v>
      </c>
      <c r="G231" s="76">
        <v>0</v>
      </c>
      <c r="H231" s="76">
        <v>0</v>
      </c>
      <c r="I231" s="76">
        <v>0</v>
      </c>
      <c r="J231" s="94" t="s">
        <v>568</v>
      </c>
      <c r="K231" s="76">
        <v>0</v>
      </c>
      <c r="L231" s="94" t="s">
        <v>568</v>
      </c>
      <c r="M231" s="94" t="s">
        <v>568</v>
      </c>
      <c r="N231" s="76" t="s">
        <v>245</v>
      </c>
      <c r="O231" s="76" t="s">
        <v>250</v>
      </c>
    </row>
    <row r="232" spans="1:15" ht="30" hidden="1" customHeight="1" x14ac:dyDescent="0.25">
      <c r="A232" s="76">
        <v>2025</v>
      </c>
      <c r="B232" s="76" t="s">
        <v>95</v>
      </c>
      <c r="C232" s="82" t="s">
        <v>128</v>
      </c>
      <c r="D232" s="78" t="s">
        <v>85</v>
      </c>
      <c r="E232" s="93" t="s">
        <v>55</v>
      </c>
      <c r="F232" s="76" t="s">
        <v>239</v>
      </c>
      <c r="G232" s="76">
        <v>0</v>
      </c>
      <c r="H232" s="76">
        <v>0</v>
      </c>
      <c r="I232" s="76">
        <v>0</v>
      </c>
      <c r="J232" s="94" t="s">
        <v>568</v>
      </c>
      <c r="K232" s="76">
        <v>0</v>
      </c>
      <c r="L232" s="94" t="s">
        <v>568</v>
      </c>
      <c r="M232" s="94" t="s">
        <v>568</v>
      </c>
      <c r="N232" s="76" t="s">
        <v>245</v>
      </c>
      <c r="O232" s="76" t="s">
        <v>248</v>
      </c>
    </row>
    <row r="233" spans="1:15" ht="30" hidden="1" customHeight="1" x14ac:dyDescent="0.25">
      <c r="A233" s="76">
        <v>2025</v>
      </c>
      <c r="B233" s="76" t="s">
        <v>96</v>
      </c>
      <c r="C233" s="82" t="s">
        <v>89</v>
      </c>
      <c r="D233" s="80" t="s">
        <v>53</v>
      </c>
      <c r="E233" s="93" t="s">
        <v>55</v>
      </c>
      <c r="F233" s="94" t="s">
        <v>568</v>
      </c>
      <c r="G233" s="76">
        <v>0</v>
      </c>
      <c r="H233" s="76">
        <v>0</v>
      </c>
      <c r="I233" s="76">
        <v>0</v>
      </c>
      <c r="J233" s="94" t="s">
        <v>568</v>
      </c>
      <c r="K233" s="76">
        <v>0</v>
      </c>
      <c r="L233" s="94" t="s">
        <v>568</v>
      </c>
      <c r="M233" s="94" t="s">
        <v>568</v>
      </c>
      <c r="N233" s="76" t="s">
        <v>245</v>
      </c>
      <c r="O233" s="76" t="s">
        <v>433</v>
      </c>
    </row>
    <row r="234" spans="1:15" ht="30" hidden="1" customHeight="1" x14ac:dyDescent="0.25">
      <c r="A234" s="76">
        <v>2025</v>
      </c>
      <c r="B234" s="76" t="s">
        <v>100</v>
      </c>
      <c r="C234" s="82" t="s">
        <v>129</v>
      </c>
      <c r="D234" s="81" t="s">
        <v>60</v>
      </c>
      <c r="E234" s="93" t="s">
        <v>54</v>
      </c>
      <c r="F234" s="94" t="s">
        <v>568</v>
      </c>
      <c r="G234" s="76">
        <v>2</v>
      </c>
      <c r="H234" s="76">
        <v>0</v>
      </c>
      <c r="I234" s="76">
        <v>0</v>
      </c>
      <c r="J234" s="94" t="s">
        <v>568</v>
      </c>
      <c r="K234" s="76">
        <v>1</v>
      </c>
      <c r="L234" s="76" t="s">
        <v>573</v>
      </c>
      <c r="M234" s="76" t="s">
        <v>524</v>
      </c>
      <c r="N234" s="76" t="s">
        <v>245</v>
      </c>
      <c r="O234" s="76" t="s">
        <v>256</v>
      </c>
    </row>
    <row r="235" spans="1:15" ht="30" hidden="1" customHeight="1" x14ac:dyDescent="0.25">
      <c r="A235" s="76">
        <v>2025</v>
      </c>
      <c r="B235" s="76" t="s">
        <v>97</v>
      </c>
      <c r="C235" s="82" t="s">
        <v>192</v>
      </c>
      <c r="D235" s="80" t="s">
        <v>53</v>
      </c>
      <c r="E235" s="93" t="s">
        <v>55</v>
      </c>
      <c r="F235" s="94" t="s">
        <v>568</v>
      </c>
      <c r="G235" s="76">
        <v>0</v>
      </c>
      <c r="H235" s="76">
        <v>0</v>
      </c>
      <c r="I235" s="76">
        <v>0</v>
      </c>
      <c r="J235" s="94" t="s">
        <v>568</v>
      </c>
      <c r="K235" s="76">
        <v>1</v>
      </c>
      <c r="L235" s="76" t="s">
        <v>609</v>
      </c>
      <c r="M235" s="94" t="s">
        <v>568</v>
      </c>
      <c r="N235" s="76" t="s">
        <v>245</v>
      </c>
      <c r="O235" s="76" t="s">
        <v>258</v>
      </c>
    </row>
    <row r="236" spans="1:15" ht="27" hidden="1" customHeight="1" x14ac:dyDescent="0.25">
      <c r="A236" s="76">
        <v>2025</v>
      </c>
      <c r="B236" s="76" t="s">
        <v>98</v>
      </c>
      <c r="C236" s="82" t="s">
        <v>80</v>
      </c>
      <c r="D236" s="78" t="s">
        <v>64</v>
      </c>
      <c r="E236" s="93" t="s">
        <v>54</v>
      </c>
      <c r="F236" s="76" t="s">
        <v>706</v>
      </c>
      <c r="G236" s="76">
        <v>0</v>
      </c>
      <c r="H236" s="76">
        <v>0</v>
      </c>
      <c r="I236" s="76">
        <v>0</v>
      </c>
      <c r="J236" s="94" t="s">
        <v>568</v>
      </c>
      <c r="K236" s="76">
        <v>0</v>
      </c>
      <c r="L236" s="94" t="s">
        <v>568</v>
      </c>
      <c r="M236" s="94" t="s">
        <v>568</v>
      </c>
      <c r="N236" s="76" t="s">
        <v>245</v>
      </c>
      <c r="O236" s="76" t="s">
        <v>707</v>
      </c>
    </row>
    <row r="237" spans="1:15" ht="27" hidden="1" customHeight="1" x14ac:dyDescent="0.25">
      <c r="A237" s="76">
        <v>2025</v>
      </c>
      <c r="B237" s="76" t="s">
        <v>99</v>
      </c>
      <c r="C237" s="82" t="s">
        <v>90</v>
      </c>
      <c r="D237" s="78" t="s">
        <v>623</v>
      </c>
      <c r="E237" s="93" t="s">
        <v>55</v>
      </c>
      <c r="F237" s="76" t="s">
        <v>763</v>
      </c>
      <c r="G237" s="76">
        <v>0</v>
      </c>
      <c r="H237" s="76">
        <v>0</v>
      </c>
      <c r="I237" s="76">
        <v>0</v>
      </c>
      <c r="J237" s="94" t="s">
        <v>568</v>
      </c>
      <c r="K237" s="76">
        <v>0</v>
      </c>
      <c r="L237" s="94" t="s">
        <v>568</v>
      </c>
      <c r="M237" s="94" t="s">
        <v>568</v>
      </c>
      <c r="N237" s="76" t="s">
        <v>245</v>
      </c>
      <c r="O237" s="76" t="s">
        <v>257</v>
      </c>
    </row>
    <row r="238" spans="1:15" ht="27" hidden="1" customHeight="1" x14ac:dyDescent="0.25">
      <c r="A238" s="76">
        <v>2025</v>
      </c>
      <c r="B238" s="76" t="s">
        <v>134</v>
      </c>
      <c r="C238" s="82" t="s">
        <v>88</v>
      </c>
      <c r="D238" s="78" t="s">
        <v>61</v>
      </c>
      <c r="E238" s="93" t="s">
        <v>54</v>
      </c>
      <c r="F238" s="76" t="s">
        <v>212</v>
      </c>
      <c r="G238" s="76">
        <v>0</v>
      </c>
      <c r="H238" s="76">
        <v>0</v>
      </c>
      <c r="I238" s="76">
        <v>1</v>
      </c>
      <c r="J238" s="95" t="s">
        <v>966</v>
      </c>
      <c r="K238" s="76">
        <v>0</v>
      </c>
      <c r="L238" s="94" t="s">
        <v>568</v>
      </c>
      <c r="M238" s="94" t="s">
        <v>568</v>
      </c>
      <c r="N238" s="76" t="s">
        <v>245</v>
      </c>
      <c r="O238" s="76" t="s">
        <v>433</v>
      </c>
    </row>
    <row r="239" spans="1:15" ht="27" hidden="1" customHeight="1" x14ac:dyDescent="0.25">
      <c r="A239" s="76">
        <v>2025</v>
      </c>
      <c r="B239" s="76" t="s">
        <v>101</v>
      </c>
      <c r="C239" s="82" t="s">
        <v>75</v>
      </c>
      <c r="D239" s="81" t="s">
        <v>60</v>
      </c>
      <c r="E239" s="93" t="s">
        <v>55</v>
      </c>
      <c r="F239" s="94" t="s">
        <v>568</v>
      </c>
      <c r="G239" s="76">
        <v>1</v>
      </c>
      <c r="H239" s="76">
        <v>0</v>
      </c>
      <c r="I239" s="76">
        <v>0</v>
      </c>
      <c r="J239" s="94" t="s">
        <v>568</v>
      </c>
      <c r="K239" s="76">
        <v>1</v>
      </c>
      <c r="L239" s="76" t="s">
        <v>577</v>
      </c>
      <c r="M239" s="76" t="s">
        <v>230</v>
      </c>
      <c r="N239" s="76" t="s">
        <v>245</v>
      </c>
      <c r="O239" s="76" t="s">
        <v>989</v>
      </c>
    </row>
    <row r="240" spans="1:15" ht="27" hidden="1" customHeight="1" x14ac:dyDescent="0.25">
      <c r="A240" s="76">
        <v>2025</v>
      </c>
      <c r="B240" s="76" t="s">
        <v>102</v>
      </c>
      <c r="C240" s="82" t="s">
        <v>193</v>
      </c>
      <c r="D240" s="81" t="s">
        <v>60</v>
      </c>
      <c r="E240" s="255" t="s">
        <v>54</v>
      </c>
      <c r="F240" s="94" t="s">
        <v>568</v>
      </c>
      <c r="G240" s="76">
        <v>0</v>
      </c>
      <c r="H240" s="76">
        <v>0</v>
      </c>
      <c r="I240" s="76">
        <v>0</v>
      </c>
      <c r="J240" s="94" t="s">
        <v>568</v>
      </c>
      <c r="K240" s="76">
        <v>1</v>
      </c>
      <c r="L240" s="76" t="s">
        <v>577</v>
      </c>
      <c r="M240" s="94" t="s">
        <v>568</v>
      </c>
      <c r="N240" s="76" t="s">
        <v>245</v>
      </c>
      <c r="O240" s="76" t="s">
        <v>256</v>
      </c>
    </row>
    <row r="241" spans="1:15" ht="27" hidden="1" customHeight="1" x14ac:dyDescent="0.25">
      <c r="A241" s="76">
        <v>2025</v>
      </c>
      <c r="B241" s="76" t="s">
        <v>103</v>
      </c>
      <c r="C241" s="82" t="s">
        <v>249</v>
      </c>
      <c r="D241" s="81" t="s">
        <v>84</v>
      </c>
      <c r="E241" s="93" t="s">
        <v>54</v>
      </c>
      <c r="F241" s="94" t="s">
        <v>568</v>
      </c>
      <c r="G241" s="76">
        <v>0</v>
      </c>
      <c r="H241" s="76">
        <v>0</v>
      </c>
      <c r="I241" s="76">
        <v>0</v>
      </c>
      <c r="J241" s="94" t="s">
        <v>568</v>
      </c>
      <c r="K241" s="76">
        <v>0</v>
      </c>
      <c r="L241" s="94" t="s">
        <v>568</v>
      </c>
      <c r="M241" s="94" t="s">
        <v>568</v>
      </c>
      <c r="N241" s="76" t="s">
        <v>245</v>
      </c>
      <c r="O241" s="76" t="s">
        <v>254</v>
      </c>
    </row>
    <row r="242" spans="1:15" ht="27" hidden="1" customHeight="1" x14ac:dyDescent="0.25">
      <c r="A242" s="76">
        <v>2025</v>
      </c>
      <c r="B242" s="76" t="s">
        <v>104</v>
      </c>
      <c r="C242" s="82" t="s">
        <v>57</v>
      </c>
      <c r="D242" s="81" t="s">
        <v>68</v>
      </c>
      <c r="E242" s="93" t="s">
        <v>55</v>
      </c>
      <c r="F242" s="94" t="s">
        <v>568</v>
      </c>
      <c r="G242" s="76">
        <v>0</v>
      </c>
      <c r="H242" s="76">
        <v>0</v>
      </c>
      <c r="I242" s="76">
        <v>0</v>
      </c>
      <c r="J242" s="94" t="s">
        <v>568</v>
      </c>
      <c r="K242" s="76">
        <v>0</v>
      </c>
      <c r="L242" s="94" t="s">
        <v>568</v>
      </c>
      <c r="M242" s="94" t="s">
        <v>568</v>
      </c>
      <c r="N242" s="76" t="s">
        <v>245</v>
      </c>
      <c r="O242" s="76" t="s">
        <v>258</v>
      </c>
    </row>
    <row r="243" spans="1:15" ht="27" hidden="1" customHeight="1" x14ac:dyDescent="0.25">
      <c r="A243" s="76">
        <v>2025</v>
      </c>
      <c r="B243" s="76" t="s">
        <v>105</v>
      </c>
      <c r="C243" s="82" t="s">
        <v>62</v>
      </c>
      <c r="D243" s="81" t="s">
        <v>65</v>
      </c>
      <c r="E243" s="76" t="s">
        <v>54</v>
      </c>
      <c r="F243" s="76" t="s">
        <v>994</v>
      </c>
      <c r="G243" s="76">
        <v>0</v>
      </c>
      <c r="H243" s="76">
        <v>0</v>
      </c>
      <c r="I243" s="76">
        <v>0</v>
      </c>
      <c r="J243" s="94" t="s">
        <v>568</v>
      </c>
      <c r="K243" s="76">
        <v>0</v>
      </c>
      <c r="L243" s="94" t="s">
        <v>568</v>
      </c>
      <c r="M243" s="94" t="s">
        <v>568</v>
      </c>
      <c r="N243" s="76" t="s">
        <v>245</v>
      </c>
      <c r="O243" s="76" t="s">
        <v>274</v>
      </c>
    </row>
    <row r="244" spans="1:15" ht="27" hidden="1" customHeight="1" x14ac:dyDescent="0.25">
      <c r="A244" s="76">
        <v>2025</v>
      </c>
      <c r="B244" s="76" t="s">
        <v>106</v>
      </c>
      <c r="C244" s="82" t="s">
        <v>191</v>
      </c>
      <c r="D244" s="80" t="s">
        <v>53</v>
      </c>
      <c r="E244" s="76" t="s">
        <v>55</v>
      </c>
      <c r="F244" s="94" t="s">
        <v>568</v>
      </c>
      <c r="G244" s="76">
        <v>0</v>
      </c>
      <c r="H244" s="76">
        <v>0</v>
      </c>
      <c r="I244" s="76">
        <v>0</v>
      </c>
      <c r="J244" s="94" t="s">
        <v>568</v>
      </c>
      <c r="K244" s="76">
        <v>0</v>
      </c>
      <c r="L244" s="94" t="s">
        <v>568</v>
      </c>
      <c r="M244" s="94" t="s">
        <v>568</v>
      </c>
      <c r="N244" s="76" t="s">
        <v>245</v>
      </c>
      <c r="O244" s="76" t="s">
        <v>996</v>
      </c>
    </row>
    <row r="245" spans="1:15" ht="27" hidden="1" customHeight="1" x14ac:dyDescent="0.25">
      <c r="A245" s="76">
        <v>2025</v>
      </c>
      <c r="B245" s="76" t="s">
        <v>107</v>
      </c>
      <c r="C245" s="82" t="s">
        <v>128</v>
      </c>
      <c r="D245" s="80" t="s">
        <v>53</v>
      </c>
      <c r="E245" s="76" t="s">
        <v>54</v>
      </c>
      <c r="F245" s="94" t="s">
        <v>568</v>
      </c>
      <c r="G245" s="76">
        <v>1</v>
      </c>
      <c r="H245" s="76">
        <v>0</v>
      </c>
      <c r="I245" s="76">
        <v>0</v>
      </c>
      <c r="J245" s="94" t="s">
        <v>568</v>
      </c>
      <c r="K245" s="76">
        <v>0</v>
      </c>
      <c r="L245" s="94" t="s">
        <v>568</v>
      </c>
      <c r="M245" s="76" t="s">
        <v>995</v>
      </c>
      <c r="N245" s="76" t="s">
        <v>245</v>
      </c>
      <c r="O245" s="76" t="s">
        <v>257</v>
      </c>
    </row>
    <row r="246" spans="1:15" ht="27" hidden="1" customHeight="1" x14ac:dyDescent="0.25">
      <c r="A246" s="76">
        <v>2025</v>
      </c>
      <c r="B246" s="76" t="s">
        <v>108</v>
      </c>
      <c r="C246" s="82" t="s">
        <v>89</v>
      </c>
      <c r="D246" s="80" t="s">
        <v>86</v>
      </c>
      <c r="E246" s="76" t="s">
        <v>54</v>
      </c>
      <c r="F246" s="76" t="s">
        <v>998</v>
      </c>
      <c r="G246" s="76">
        <v>1</v>
      </c>
      <c r="H246" s="76">
        <v>1</v>
      </c>
      <c r="I246" s="76">
        <v>0</v>
      </c>
      <c r="J246" s="94" t="s">
        <v>568</v>
      </c>
      <c r="K246" s="76">
        <v>0</v>
      </c>
      <c r="L246" s="94" t="s">
        <v>568</v>
      </c>
      <c r="M246" s="76" t="s">
        <v>1000</v>
      </c>
      <c r="N246" s="76" t="s">
        <v>245</v>
      </c>
      <c r="O246" s="76" t="s">
        <v>999</v>
      </c>
    </row>
    <row r="247" spans="1:15" ht="27" hidden="1" customHeight="1" x14ac:dyDescent="0.25">
      <c r="A247" s="76">
        <v>2025</v>
      </c>
      <c r="B247" s="76" t="s">
        <v>109</v>
      </c>
      <c r="C247" s="82" t="s">
        <v>129</v>
      </c>
      <c r="D247" s="78" t="s">
        <v>61</v>
      </c>
      <c r="E247" s="76" t="s">
        <v>55</v>
      </c>
      <c r="F247" s="76" t="s">
        <v>240</v>
      </c>
      <c r="G247" s="76">
        <v>0</v>
      </c>
      <c r="H247" s="76">
        <v>0</v>
      </c>
      <c r="I247" s="76">
        <v>0</v>
      </c>
      <c r="J247" s="94" t="s">
        <v>568</v>
      </c>
      <c r="K247" s="76">
        <v>0</v>
      </c>
      <c r="L247" s="94" t="s">
        <v>568</v>
      </c>
      <c r="M247" s="94" t="s">
        <v>568</v>
      </c>
      <c r="N247" s="76" t="s">
        <v>245</v>
      </c>
      <c r="O247" s="76" t="s">
        <v>256</v>
      </c>
    </row>
    <row r="248" spans="1:15" ht="27" hidden="1" customHeight="1" x14ac:dyDescent="0.25">
      <c r="A248" s="76">
        <v>2025</v>
      </c>
      <c r="B248" s="76" t="s">
        <v>110</v>
      </c>
      <c r="C248" s="82" t="s">
        <v>192</v>
      </c>
      <c r="D248" s="81" t="s">
        <v>59</v>
      </c>
      <c r="E248" s="76" t="s">
        <v>54</v>
      </c>
      <c r="F248" s="76" t="s">
        <v>240</v>
      </c>
      <c r="G248" s="76">
        <v>0</v>
      </c>
      <c r="H248" s="76">
        <v>0</v>
      </c>
      <c r="I248" s="76">
        <v>0</v>
      </c>
      <c r="J248" s="94" t="s">
        <v>568</v>
      </c>
      <c r="K248" s="76">
        <v>0</v>
      </c>
      <c r="L248" s="94" t="s">
        <v>568</v>
      </c>
      <c r="M248" s="94" t="s">
        <v>568</v>
      </c>
      <c r="N248" s="76" t="s">
        <v>245</v>
      </c>
      <c r="O248" s="76" t="s">
        <v>1001</v>
      </c>
    </row>
    <row r="249" spans="1:15" ht="27" hidden="1" customHeight="1" x14ac:dyDescent="0.25">
      <c r="A249" s="76">
        <v>2025</v>
      </c>
      <c r="B249" s="76" t="s">
        <v>111</v>
      </c>
      <c r="C249" s="82" t="s">
        <v>80</v>
      </c>
      <c r="D249" s="81" t="s">
        <v>63</v>
      </c>
      <c r="E249" s="76" t="s">
        <v>55</v>
      </c>
      <c r="F249" s="94" t="s">
        <v>568</v>
      </c>
      <c r="G249" s="76">
        <v>1</v>
      </c>
      <c r="H249" s="76">
        <v>0</v>
      </c>
      <c r="I249" s="76">
        <v>0</v>
      </c>
      <c r="J249" s="94" t="s">
        <v>568</v>
      </c>
      <c r="K249" s="76">
        <v>0</v>
      </c>
      <c r="L249" s="94" t="s">
        <v>568</v>
      </c>
      <c r="M249" s="76" t="s">
        <v>238</v>
      </c>
      <c r="N249" s="76" t="s">
        <v>245</v>
      </c>
      <c r="O249" s="76" t="s">
        <v>248</v>
      </c>
    </row>
    <row r="250" spans="1:15" ht="27" hidden="1" customHeight="1" x14ac:dyDescent="0.25">
      <c r="A250" s="76">
        <v>2025</v>
      </c>
      <c r="B250" s="76" t="s">
        <v>112</v>
      </c>
      <c r="C250" s="82" t="s">
        <v>90</v>
      </c>
      <c r="D250" s="81" t="s">
        <v>67</v>
      </c>
      <c r="E250" s="76" t="s">
        <v>54</v>
      </c>
      <c r="F250" s="76" t="s">
        <v>1002</v>
      </c>
      <c r="G250" s="76">
        <v>0</v>
      </c>
      <c r="H250" s="76">
        <v>0</v>
      </c>
      <c r="I250" s="76">
        <v>0</v>
      </c>
      <c r="J250" s="94" t="s">
        <v>568</v>
      </c>
      <c r="K250" s="76">
        <v>1</v>
      </c>
      <c r="L250" s="76" t="s">
        <v>577</v>
      </c>
      <c r="M250" s="94" t="s">
        <v>568</v>
      </c>
      <c r="N250" s="76" t="s">
        <v>1003</v>
      </c>
      <c r="O250" s="76" t="s">
        <v>1004</v>
      </c>
    </row>
    <row r="251" spans="1:15" ht="27" hidden="1" customHeight="1" x14ac:dyDescent="0.25">
      <c r="A251" s="76">
        <v>2025</v>
      </c>
      <c r="B251" s="76" t="s">
        <v>113</v>
      </c>
      <c r="C251" s="82" t="s">
        <v>88</v>
      </c>
      <c r="D251" s="80" t="s">
        <v>66</v>
      </c>
      <c r="E251" s="76" t="s">
        <v>55</v>
      </c>
      <c r="F251" s="76" t="s">
        <v>1007</v>
      </c>
      <c r="G251" s="76">
        <v>0</v>
      </c>
      <c r="H251" s="76">
        <v>0</v>
      </c>
      <c r="I251" s="76">
        <v>0</v>
      </c>
      <c r="J251" s="94" t="s">
        <v>568</v>
      </c>
      <c r="K251" s="76">
        <v>0</v>
      </c>
      <c r="L251" s="94" t="s">
        <v>568</v>
      </c>
      <c r="M251" s="94" t="s">
        <v>568</v>
      </c>
      <c r="N251" s="76" t="s">
        <v>1008</v>
      </c>
      <c r="O251" s="76" t="s">
        <v>989</v>
      </c>
    </row>
    <row r="252" spans="1:15" ht="27" hidden="1" customHeight="1" x14ac:dyDescent="0.25">
      <c r="A252" s="76">
        <v>2025</v>
      </c>
      <c r="B252" s="76" t="s">
        <v>114</v>
      </c>
      <c r="C252" s="82" t="s">
        <v>75</v>
      </c>
      <c r="D252" s="81" t="s">
        <v>60</v>
      </c>
      <c r="E252" s="76" t="s">
        <v>54</v>
      </c>
      <c r="F252" s="94" t="s">
        <v>568</v>
      </c>
      <c r="G252" s="76">
        <v>0</v>
      </c>
      <c r="H252" s="76">
        <v>1</v>
      </c>
      <c r="I252" s="76">
        <v>0</v>
      </c>
      <c r="J252" s="94" t="s">
        <v>568</v>
      </c>
      <c r="K252" s="76">
        <v>0</v>
      </c>
      <c r="L252" s="94" t="s">
        <v>568</v>
      </c>
      <c r="M252" s="94" t="s">
        <v>568</v>
      </c>
      <c r="N252" s="76" t="s">
        <v>1008</v>
      </c>
      <c r="O252" s="76" t="s">
        <v>258</v>
      </c>
    </row>
    <row r="253" spans="1:15" ht="27" hidden="1" customHeight="1" thickBot="1" x14ac:dyDescent="0.3">
      <c r="A253" s="84">
        <v>2025</v>
      </c>
      <c r="B253" s="84" t="s">
        <v>115</v>
      </c>
      <c r="C253" s="88" t="s">
        <v>193</v>
      </c>
      <c r="D253" s="90" t="s">
        <v>66</v>
      </c>
      <c r="E253" s="84" t="s">
        <v>55</v>
      </c>
      <c r="F253" s="84" t="s">
        <v>1012</v>
      </c>
      <c r="G253" s="84">
        <v>0</v>
      </c>
      <c r="H253" s="84">
        <v>0</v>
      </c>
      <c r="I253" s="84">
        <v>0</v>
      </c>
      <c r="J253" s="96" t="s">
        <v>568</v>
      </c>
      <c r="K253" s="84">
        <v>0</v>
      </c>
      <c r="L253" s="96" t="s">
        <v>568</v>
      </c>
      <c r="M253" s="96" t="s">
        <v>568</v>
      </c>
      <c r="N253" s="84" t="s">
        <v>1008</v>
      </c>
      <c r="O253" s="84" t="s">
        <v>270</v>
      </c>
    </row>
    <row r="254" spans="1:15" ht="27" hidden="1" customHeight="1" x14ac:dyDescent="0.25">
      <c r="A254" s="76" t="s">
        <v>1030</v>
      </c>
      <c r="B254" s="76" t="s">
        <v>114</v>
      </c>
      <c r="C254" s="82" t="s">
        <v>90</v>
      </c>
      <c r="D254" s="81" t="s">
        <v>84</v>
      </c>
      <c r="E254" s="76" t="s">
        <v>55</v>
      </c>
      <c r="F254" s="94" t="s">
        <v>568</v>
      </c>
      <c r="G254" s="76">
        <v>1</v>
      </c>
      <c r="H254" s="76">
        <v>0</v>
      </c>
      <c r="I254" s="76">
        <v>0</v>
      </c>
      <c r="J254" s="94" t="s">
        <v>568</v>
      </c>
      <c r="K254" s="76">
        <v>1</v>
      </c>
      <c r="L254" s="94" t="s">
        <v>1035</v>
      </c>
      <c r="M254" s="94" t="s">
        <v>205</v>
      </c>
      <c r="N254" s="76" t="s">
        <v>1008</v>
      </c>
      <c r="O254" s="76" t="s">
        <v>279</v>
      </c>
    </row>
    <row r="255" spans="1:15" ht="27" hidden="1" customHeight="1" thickBot="1" x14ac:dyDescent="0.3">
      <c r="A255" s="84" t="s">
        <v>1031</v>
      </c>
      <c r="B255" s="84" t="s">
        <v>115</v>
      </c>
      <c r="C255" s="88" t="s">
        <v>90</v>
      </c>
      <c r="D255" s="89" t="s">
        <v>161</v>
      </c>
      <c r="E255" s="84" t="s">
        <v>54</v>
      </c>
      <c r="F255" s="84" t="s">
        <v>1007</v>
      </c>
      <c r="G255" s="84">
        <v>1</v>
      </c>
      <c r="H255" s="84">
        <v>0</v>
      </c>
      <c r="I255" s="84">
        <v>0</v>
      </c>
      <c r="J255" s="96" t="s">
        <v>568</v>
      </c>
      <c r="K255" s="84">
        <v>0</v>
      </c>
      <c r="L255" s="96" t="s">
        <v>568</v>
      </c>
      <c r="M255" s="96" t="s">
        <v>568</v>
      </c>
      <c r="N255" s="84" t="s">
        <v>1008</v>
      </c>
      <c r="O255" s="84" t="s">
        <v>1004</v>
      </c>
    </row>
  </sheetData>
  <autoFilter ref="A2:O255" xr:uid="{00000000-0001-0000-0000-000000000000}">
    <filterColumn colId="5">
      <filters>
        <filter val="´Damián Arrubarrena y Matías Coselli"/>
        <filter val="Gómez (x2), Casragna, Arrubarrena y Coselli"/>
        <filter val="Matías Coselli"/>
        <filter val="Matías Coselli (x2)"/>
        <filter val="Matías Coselli (x3)"/>
        <filter val="Nahuel Gómez y Matías Coselli"/>
      </filters>
    </filterColumn>
  </autoFilter>
  <mergeCells count="1">
    <mergeCell ref="A1:O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5"/>
  <sheetViews>
    <sheetView zoomScaleNormal="100" workbookViewId="0">
      <pane ySplit="2" topLeftCell="A115" activePane="bottomLeft" state="frozen"/>
      <selection pane="bottomLeft" activeCell="C1" sqref="C1"/>
    </sheetView>
  </sheetViews>
  <sheetFormatPr baseColWidth="10" defaultRowHeight="15" x14ac:dyDescent="0.25"/>
  <cols>
    <col min="1" max="1" width="11.42578125" style="339"/>
    <col min="2" max="2" width="6.140625" customWidth="1"/>
    <col min="3" max="3" width="21.5703125" customWidth="1"/>
    <col min="4" max="4" width="20.5703125" bestFit="1" customWidth="1"/>
    <col min="6" max="6" width="15.28515625" style="339" customWidth="1"/>
    <col min="7" max="7" width="12.85546875" customWidth="1"/>
    <col min="13" max="13" width="12.28515625" bestFit="1" customWidth="1"/>
    <col min="14" max="14" width="18.28515625" bestFit="1" customWidth="1"/>
    <col min="15" max="15" width="12.28515625" customWidth="1"/>
    <col min="16" max="16" width="11.42578125" style="14"/>
  </cols>
  <sheetData>
    <row r="1" spans="1:16" ht="22.5" thickTop="1" thickBot="1" x14ac:dyDescent="0.3">
      <c r="A1" s="335" t="s">
        <v>36</v>
      </c>
      <c r="B1" s="340"/>
      <c r="C1" s="341"/>
      <c r="D1" s="341"/>
      <c r="E1" s="341"/>
      <c r="F1" s="343"/>
      <c r="G1" s="341"/>
      <c r="H1" s="341"/>
      <c r="I1" s="341"/>
      <c r="J1" s="341"/>
      <c r="K1" s="341"/>
      <c r="L1" s="341"/>
      <c r="M1" s="341"/>
      <c r="N1" s="341"/>
      <c r="O1" s="342"/>
    </row>
    <row r="2" spans="1:16" ht="28.5" customHeight="1" thickBot="1" x14ac:dyDescent="0.3">
      <c r="A2" s="336" t="s">
        <v>1036</v>
      </c>
      <c r="B2" s="336" t="s">
        <v>137</v>
      </c>
      <c r="C2" s="336" t="s">
        <v>26</v>
      </c>
      <c r="D2" s="336" t="s">
        <v>25</v>
      </c>
      <c r="E2" s="336" t="s">
        <v>27</v>
      </c>
      <c r="F2" s="336" t="s">
        <v>1193</v>
      </c>
      <c r="G2" s="336" t="s">
        <v>28</v>
      </c>
      <c r="H2" s="336" t="s">
        <v>32</v>
      </c>
      <c r="I2" s="336" t="s">
        <v>33</v>
      </c>
      <c r="J2" s="336" t="s">
        <v>363</v>
      </c>
      <c r="K2" s="336" t="s">
        <v>29</v>
      </c>
      <c r="L2" s="336" t="s">
        <v>30</v>
      </c>
      <c r="M2" s="336" t="s">
        <v>1190</v>
      </c>
      <c r="N2" s="336" t="s">
        <v>1191</v>
      </c>
      <c r="O2" s="336" t="s">
        <v>1192</v>
      </c>
      <c r="P2" s="14" t="s">
        <v>1214</v>
      </c>
    </row>
    <row r="3" spans="1:16" ht="20.100000000000001" customHeight="1" thickBot="1" x14ac:dyDescent="0.3">
      <c r="A3" s="337" t="s">
        <v>1037</v>
      </c>
      <c r="B3" s="179" t="s">
        <v>138</v>
      </c>
      <c r="C3" s="200" t="s">
        <v>378</v>
      </c>
      <c r="D3" s="225" t="s">
        <v>379</v>
      </c>
      <c r="E3" s="129">
        <v>-22</v>
      </c>
      <c r="F3" s="344" t="s">
        <v>1194</v>
      </c>
      <c r="G3" s="129"/>
      <c r="H3" s="129">
        <v>1</v>
      </c>
      <c r="I3" s="129"/>
      <c r="J3" s="129">
        <v>13</v>
      </c>
      <c r="K3" s="129">
        <v>13</v>
      </c>
      <c r="L3" s="129">
        <v>8</v>
      </c>
      <c r="M3" s="202">
        <v>45725</v>
      </c>
      <c r="N3" s="59" t="s">
        <v>809</v>
      </c>
      <c r="O3" s="222" t="s">
        <v>59</v>
      </c>
    </row>
    <row r="4" spans="1:16" ht="20.100000000000001" customHeight="1" x14ac:dyDescent="0.25">
      <c r="A4" s="338" t="s">
        <v>1038</v>
      </c>
      <c r="B4" s="27" t="s">
        <v>138</v>
      </c>
      <c r="C4" s="203" t="s">
        <v>402</v>
      </c>
      <c r="D4" s="207" t="s">
        <v>403</v>
      </c>
      <c r="E4" s="72">
        <v>-2</v>
      </c>
      <c r="F4" s="344"/>
      <c r="G4" s="72"/>
      <c r="H4" s="72"/>
      <c r="I4" s="72"/>
      <c r="J4" s="72">
        <v>2</v>
      </c>
      <c r="K4" s="72">
        <v>2</v>
      </c>
      <c r="L4" s="72">
        <v>12</v>
      </c>
      <c r="M4" s="224">
        <v>45871</v>
      </c>
      <c r="N4" s="215" t="s">
        <v>129</v>
      </c>
      <c r="O4" s="72" t="s">
        <v>61</v>
      </c>
    </row>
    <row r="5" spans="1:16" ht="20.100000000000001" customHeight="1" x14ac:dyDescent="0.25">
      <c r="A5" s="338" t="s">
        <v>1039</v>
      </c>
      <c r="B5" s="27" t="s">
        <v>138</v>
      </c>
      <c r="C5" s="176" t="s">
        <v>758</v>
      </c>
      <c r="D5" s="146" t="s">
        <v>787</v>
      </c>
      <c r="E5" s="190">
        <v>-40</v>
      </c>
      <c r="F5" s="345" t="s">
        <v>1195</v>
      </c>
      <c r="G5" s="72"/>
      <c r="H5" s="72">
        <v>3</v>
      </c>
      <c r="I5" s="72"/>
      <c r="J5" s="72">
        <v>29</v>
      </c>
      <c r="K5" s="72">
        <v>28</v>
      </c>
      <c r="L5" s="72">
        <v>23</v>
      </c>
      <c r="M5" s="174">
        <v>42518</v>
      </c>
      <c r="N5" s="101" t="s">
        <v>80</v>
      </c>
      <c r="O5" s="72" t="s">
        <v>61</v>
      </c>
    </row>
    <row r="6" spans="1:16" ht="20.100000000000001" customHeight="1" thickBot="1" x14ac:dyDescent="0.3">
      <c r="A6" s="338" t="s">
        <v>1040</v>
      </c>
      <c r="B6" s="27" t="s">
        <v>138</v>
      </c>
      <c r="C6" s="204" t="s">
        <v>362</v>
      </c>
      <c r="D6" s="207" t="s">
        <v>18</v>
      </c>
      <c r="E6" s="72"/>
      <c r="F6" s="346"/>
      <c r="G6" s="72"/>
      <c r="H6" s="72"/>
      <c r="I6" s="72"/>
      <c r="J6" s="72">
        <v>0</v>
      </c>
      <c r="K6" s="72">
        <v>0</v>
      </c>
      <c r="L6" s="72">
        <v>3</v>
      </c>
      <c r="M6" s="227" t="s">
        <v>568</v>
      </c>
      <c r="N6" s="175" t="s">
        <v>568</v>
      </c>
      <c r="O6" s="175" t="s">
        <v>568</v>
      </c>
    </row>
    <row r="7" spans="1:16" ht="20.100000000000001" customHeight="1" x14ac:dyDescent="0.25">
      <c r="A7" s="337" t="s">
        <v>1041</v>
      </c>
      <c r="B7" s="27" t="s">
        <v>138</v>
      </c>
      <c r="C7" s="204" t="s">
        <v>333</v>
      </c>
      <c r="D7" s="207" t="s">
        <v>24</v>
      </c>
      <c r="E7" s="72">
        <v>-5</v>
      </c>
      <c r="F7" s="347" t="s">
        <v>1196</v>
      </c>
      <c r="G7" s="72"/>
      <c r="H7" s="72"/>
      <c r="I7" s="72"/>
      <c r="J7" s="72">
        <v>3</v>
      </c>
      <c r="K7" s="72">
        <v>2</v>
      </c>
      <c r="L7" s="72">
        <v>39</v>
      </c>
      <c r="M7" s="174">
        <v>45458</v>
      </c>
      <c r="N7" s="101" t="s">
        <v>80</v>
      </c>
      <c r="O7" s="220" t="s">
        <v>60</v>
      </c>
    </row>
    <row r="8" spans="1:16" ht="20.100000000000001" customHeight="1" x14ac:dyDescent="0.25">
      <c r="A8" s="338" t="s">
        <v>1042</v>
      </c>
      <c r="B8" s="27" t="s">
        <v>138</v>
      </c>
      <c r="C8" s="204" t="s">
        <v>334</v>
      </c>
      <c r="D8" s="207" t="s">
        <v>610</v>
      </c>
      <c r="E8" s="72">
        <v>-17</v>
      </c>
      <c r="F8" s="347" t="s">
        <v>1197</v>
      </c>
      <c r="G8" s="72"/>
      <c r="H8" s="72">
        <v>1</v>
      </c>
      <c r="I8" s="72">
        <v>1</v>
      </c>
      <c r="J8" s="72">
        <v>12</v>
      </c>
      <c r="K8" s="72">
        <v>12</v>
      </c>
      <c r="L8" s="72">
        <v>23</v>
      </c>
      <c r="M8" s="213">
        <v>45075</v>
      </c>
      <c r="N8" s="214" t="s">
        <v>83</v>
      </c>
      <c r="O8" s="220" t="s">
        <v>66</v>
      </c>
    </row>
    <row r="9" spans="1:16" ht="20.100000000000001" customHeight="1" x14ac:dyDescent="0.25">
      <c r="A9" s="338" t="s">
        <v>1043</v>
      </c>
      <c r="B9" s="27" t="s">
        <v>138</v>
      </c>
      <c r="C9" s="204" t="s">
        <v>335</v>
      </c>
      <c r="D9" s="207" t="s">
        <v>0</v>
      </c>
      <c r="E9" s="72">
        <v>-39</v>
      </c>
      <c r="F9" s="347" t="s">
        <v>1198</v>
      </c>
      <c r="G9" s="72"/>
      <c r="H9" s="72">
        <v>3</v>
      </c>
      <c r="I9" s="72">
        <v>1</v>
      </c>
      <c r="J9" s="72">
        <v>44</v>
      </c>
      <c r="K9" s="72">
        <v>44</v>
      </c>
      <c r="L9" s="72">
        <v>2</v>
      </c>
      <c r="M9" s="174">
        <v>45326</v>
      </c>
      <c r="N9" s="101" t="s">
        <v>74</v>
      </c>
      <c r="O9" s="220" t="s">
        <v>84</v>
      </c>
      <c r="P9" s="14" t="s">
        <v>34</v>
      </c>
    </row>
    <row r="10" spans="1:16" ht="20.100000000000001" customHeight="1" thickBot="1" x14ac:dyDescent="0.3">
      <c r="A10" s="338" t="s">
        <v>1044</v>
      </c>
      <c r="B10" s="27" t="s">
        <v>138</v>
      </c>
      <c r="C10" s="204" t="s">
        <v>346</v>
      </c>
      <c r="D10" s="207" t="s">
        <v>612</v>
      </c>
      <c r="E10" s="72"/>
      <c r="F10" s="346"/>
      <c r="G10" s="72"/>
      <c r="H10" s="72"/>
      <c r="I10" s="72"/>
      <c r="J10" s="72">
        <v>0</v>
      </c>
      <c r="K10" s="72">
        <v>0</v>
      </c>
      <c r="L10" s="72">
        <v>15</v>
      </c>
      <c r="M10" s="224" t="s">
        <v>568</v>
      </c>
      <c r="N10" s="215" t="s">
        <v>568</v>
      </c>
      <c r="O10" s="215" t="s">
        <v>568</v>
      </c>
    </row>
    <row r="11" spans="1:16" ht="20.100000000000001" customHeight="1" x14ac:dyDescent="0.25">
      <c r="A11" s="337" t="s">
        <v>1045</v>
      </c>
      <c r="B11" s="27" t="s">
        <v>138</v>
      </c>
      <c r="C11" s="176" t="s">
        <v>522</v>
      </c>
      <c r="D11" s="146" t="s">
        <v>584</v>
      </c>
      <c r="E11" s="115">
        <v>-7</v>
      </c>
      <c r="F11" s="348"/>
      <c r="G11" s="115"/>
      <c r="H11" s="115"/>
      <c r="I11" s="115"/>
      <c r="J11" s="72">
        <v>5</v>
      </c>
      <c r="K11" s="127">
        <v>5</v>
      </c>
      <c r="L11" s="72">
        <v>22</v>
      </c>
      <c r="M11" s="224">
        <v>43576</v>
      </c>
      <c r="N11" s="216" t="s">
        <v>57</v>
      </c>
      <c r="O11" s="220" t="s">
        <v>61</v>
      </c>
    </row>
    <row r="12" spans="1:16" ht="20.100000000000001" customHeight="1" x14ac:dyDescent="0.25">
      <c r="A12" s="338" t="s">
        <v>1046</v>
      </c>
      <c r="B12" s="27" t="s">
        <v>138</v>
      </c>
      <c r="C12" s="204" t="s">
        <v>509</v>
      </c>
      <c r="D12" s="207" t="s">
        <v>690</v>
      </c>
      <c r="E12" s="72">
        <v>-2</v>
      </c>
      <c r="F12" s="346"/>
      <c r="G12" s="72"/>
      <c r="H12" s="72"/>
      <c r="I12" s="72"/>
      <c r="J12" s="72">
        <v>2</v>
      </c>
      <c r="K12" s="72">
        <v>1</v>
      </c>
      <c r="L12" s="72">
        <v>23</v>
      </c>
      <c r="M12" s="174">
        <v>44447</v>
      </c>
      <c r="N12" s="101" t="s">
        <v>72</v>
      </c>
      <c r="O12" s="220" t="s">
        <v>61</v>
      </c>
    </row>
    <row r="13" spans="1:16" ht="20.100000000000001" customHeight="1" x14ac:dyDescent="0.25">
      <c r="A13" s="338" t="s">
        <v>1047</v>
      </c>
      <c r="B13" s="27" t="s">
        <v>138</v>
      </c>
      <c r="C13" s="204" t="s">
        <v>482</v>
      </c>
      <c r="D13" s="207" t="s">
        <v>483</v>
      </c>
      <c r="E13" s="72">
        <v>-91</v>
      </c>
      <c r="F13" s="347" t="s">
        <v>1199</v>
      </c>
      <c r="G13" s="72"/>
      <c r="H13" s="72">
        <v>8</v>
      </c>
      <c r="I13" s="72"/>
      <c r="J13" s="72">
        <v>60</v>
      </c>
      <c r="K13" s="72">
        <v>60</v>
      </c>
      <c r="L13" s="72">
        <v>3</v>
      </c>
      <c r="M13" s="174">
        <v>44604</v>
      </c>
      <c r="N13" s="101" t="s">
        <v>922</v>
      </c>
      <c r="O13" s="220" t="s">
        <v>61</v>
      </c>
    </row>
    <row r="14" spans="1:16" ht="20.100000000000001" customHeight="1" thickBot="1" x14ac:dyDescent="0.3">
      <c r="A14" s="338" t="s">
        <v>1048</v>
      </c>
      <c r="B14" s="27" t="s">
        <v>138</v>
      </c>
      <c r="C14" s="203" t="s">
        <v>389</v>
      </c>
      <c r="D14" s="207" t="s">
        <v>390</v>
      </c>
      <c r="E14" s="72">
        <v>-19</v>
      </c>
      <c r="F14" s="349" t="s">
        <v>1200</v>
      </c>
      <c r="G14" s="72"/>
      <c r="H14" s="72">
        <v>2</v>
      </c>
      <c r="I14" s="72"/>
      <c r="J14" s="72">
        <v>13</v>
      </c>
      <c r="K14" s="72">
        <v>13</v>
      </c>
      <c r="L14" s="72">
        <v>8</v>
      </c>
      <c r="M14" s="174">
        <v>45773</v>
      </c>
      <c r="N14" s="101" t="s">
        <v>192</v>
      </c>
      <c r="O14" s="220" t="s">
        <v>53</v>
      </c>
    </row>
    <row r="15" spans="1:16" ht="20.100000000000001" customHeight="1" x14ac:dyDescent="0.25">
      <c r="A15" s="337" t="s">
        <v>1049</v>
      </c>
      <c r="B15" s="27" t="s">
        <v>138</v>
      </c>
      <c r="C15" s="204" t="s">
        <v>507</v>
      </c>
      <c r="D15" s="207" t="s">
        <v>15</v>
      </c>
      <c r="E15" s="72"/>
      <c r="F15" s="346"/>
      <c r="G15" s="72"/>
      <c r="H15" s="72"/>
      <c r="I15" s="72"/>
      <c r="J15" s="72">
        <v>0</v>
      </c>
      <c r="K15" s="72">
        <v>0</v>
      </c>
      <c r="L15" s="72">
        <v>3</v>
      </c>
      <c r="M15" s="224" t="s">
        <v>568</v>
      </c>
      <c r="N15" s="215" t="s">
        <v>568</v>
      </c>
      <c r="O15" s="215" t="s">
        <v>568</v>
      </c>
    </row>
    <row r="16" spans="1:16" ht="20.100000000000001" customHeight="1" x14ac:dyDescent="0.25">
      <c r="A16" s="338" t="s">
        <v>1050</v>
      </c>
      <c r="B16" s="27" t="s">
        <v>138</v>
      </c>
      <c r="C16" s="204" t="s">
        <v>586</v>
      </c>
      <c r="D16" s="207" t="s">
        <v>483</v>
      </c>
      <c r="E16" s="72">
        <v>-26</v>
      </c>
      <c r="F16" s="350" t="s">
        <v>1201</v>
      </c>
      <c r="G16" s="72"/>
      <c r="H16" s="72">
        <v>1</v>
      </c>
      <c r="I16" s="72"/>
      <c r="J16" s="72">
        <v>20</v>
      </c>
      <c r="K16" s="72">
        <v>20</v>
      </c>
      <c r="L16" s="72">
        <v>49</v>
      </c>
      <c r="M16" s="174">
        <v>43897</v>
      </c>
      <c r="N16" s="101" t="s">
        <v>70</v>
      </c>
      <c r="O16" s="220" t="s">
        <v>66</v>
      </c>
    </row>
    <row r="17" spans="1:16" ht="20.100000000000001" customHeight="1" thickBot="1" x14ac:dyDescent="0.3">
      <c r="A17" s="338" t="s">
        <v>1051</v>
      </c>
      <c r="B17" s="155" t="s">
        <v>138</v>
      </c>
      <c r="C17" s="205" t="s">
        <v>603</v>
      </c>
      <c r="D17" s="211" t="s">
        <v>511</v>
      </c>
      <c r="E17" s="73">
        <v>-80</v>
      </c>
      <c r="F17" s="350" t="s">
        <v>1202</v>
      </c>
      <c r="G17" s="73"/>
      <c r="H17" s="73">
        <v>4</v>
      </c>
      <c r="I17" s="73"/>
      <c r="J17" s="73">
        <v>53</v>
      </c>
      <c r="K17" s="73">
        <v>53</v>
      </c>
      <c r="L17" s="73">
        <v>21</v>
      </c>
      <c r="M17" s="217">
        <v>42981</v>
      </c>
      <c r="N17" s="122" t="s">
        <v>83</v>
      </c>
      <c r="O17" s="221" t="s">
        <v>623</v>
      </c>
      <c r="P17" s="14" t="s">
        <v>34</v>
      </c>
    </row>
    <row r="18" spans="1:16" ht="20.100000000000001" customHeight="1" thickBot="1" x14ac:dyDescent="0.3">
      <c r="A18" s="338" t="s">
        <v>1052</v>
      </c>
      <c r="B18" s="180" t="s">
        <v>141</v>
      </c>
      <c r="C18" s="200" t="s">
        <v>384</v>
      </c>
      <c r="D18" s="225" t="s">
        <v>383</v>
      </c>
      <c r="E18" s="129">
        <v>1</v>
      </c>
      <c r="F18" s="351"/>
      <c r="G18" s="129"/>
      <c r="H18" s="129">
        <v>5</v>
      </c>
      <c r="I18" s="129"/>
      <c r="J18" s="129">
        <v>21</v>
      </c>
      <c r="K18" s="129">
        <v>16</v>
      </c>
      <c r="L18" s="129">
        <v>8</v>
      </c>
      <c r="M18" s="213">
        <v>45725</v>
      </c>
      <c r="N18" s="214" t="s">
        <v>809</v>
      </c>
      <c r="O18" s="222" t="s">
        <v>59</v>
      </c>
    </row>
    <row r="19" spans="1:16" ht="20.100000000000001" customHeight="1" x14ac:dyDescent="0.25">
      <c r="A19" s="337" t="s">
        <v>1053</v>
      </c>
      <c r="B19" s="28" t="s">
        <v>141</v>
      </c>
      <c r="C19" s="204" t="s">
        <v>354</v>
      </c>
      <c r="D19" s="207" t="s">
        <v>12</v>
      </c>
      <c r="E19" s="151"/>
      <c r="F19" s="352"/>
      <c r="G19" s="115"/>
      <c r="H19" s="115">
        <v>1</v>
      </c>
      <c r="I19" s="115">
        <v>1</v>
      </c>
      <c r="J19" s="72">
        <v>13</v>
      </c>
      <c r="K19" s="127">
        <v>11</v>
      </c>
      <c r="L19" s="72">
        <v>8</v>
      </c>
      <c r="M19" s="213">
        <v>42435</v>
      </c>
      <c r="N19" s="214" t="s">
        <v>88</v>
      </c>
      <c r="O19" s="220" t="s">
        <v>64</v>
      </c>
    </row>
    <row r="20" spans="1:16" ht="20.100000000000001" customHeight="1" x14ac:dyDescent="0.25">
      <c r="A20" s="338" t="s">
        <v>1054</v>
      </c>
      <c r="B20" s="28" t="s">
        <v>141</v>
      </c>
      <c r="C20" s="204" t="s">
        <v>579</v>
      </c>
      <c r="D20" s="207" t="s">
        <v>580</v>
      </c>
      <c r="E20" s="72">
        <v>3</v>
      </c>
      <c r="F20" s="346"/>
      <c r="G20" s="72"/>
      <c r="H20" s="72">
        <v>17</v>
      </c>
      <c r="I20" s="72">
        <v>4</v>
      </c>
      <c r="J20" s="72">
        <v>68</v>
      </c>
      <c r="K20" s="72">
        <v>67</v>
      </c>
      <c r="L20" s="72">
        <v>8</v>
      </c>
      <c r="M20" s="174">
        <v>43708</v>
      </c>
      <c r="N20" s="101" t="s">
        <v>71</v>
      </c>
      <c r="O20" s="220" t="s">
        <v>409</v>
      </c>
    </row>
    <row r="21" spans="1:16" ht="20.100000000000001" customHeight="1" x14ac:dyDescent="0.25">
      <c r="A21" s="338" t="s">
        <v>1055</v>
      </c>
      <c r="B21" s="28" t="s">
        <v>141</v>
      </c>
      <c r="C21" s="204" t="s">
        <v>336</v>
      </c>
      <c r="D21" s="207" t="s">
        <v>3</v>
      </c>
      <c r="E21" s="72"/>
      <c r="F21" s="346"/>
      <c r="G21" s="72"/>
      <c r="H21" s="72">
        <v>11</v>
      </c>
      <c r="I21" s="72"/>
      <c r="J21" s="72">
        <v>46</v>
      </c>
      <c r="K21" s="72">
        <v>44</v>
      </c>
      <c r="L21" s="72">
        <v>2</v>
      </c>
      <c r="M21" s="174">
        <v>45326</v>
      </c>
      <c r="N21" s="101" t="s">
        <v>74</v>
      </c>
      <c r="O21" s="220" t="s">
        <v>84</v>
      </c>
    </row>
    <row r="22" spans="1:16" ht="20.100000000000001" customHeight="1" thickBot="1" x14ac:dyDescent="0.3">
      <c r="A22" s="338" t="s">
        <v>1056</v>
      </c>
      <c r="B22" s="28" t="s">
        <v>141</v>
      </c>
      <c r="C22" s="204" t="s">
        <v>661</v>
      </c>
      <c r="D22" s="207" t="s">
        <v>662</v>
      </c>
      <c r="E22" s="72"/>
      <c r="F22" s="346"/>
      <c r="G22" s="72"/>
      <c r="H22" s="72">
        <v>3</v>
      </c>
      <c r="I22" s="72">
        <v>1</v>
      </c>
      <c r="J22" s="72">
        <v>32</v>
      </c>
      <c r="K22" s="72">
        <v>29</v>
      </c>
      <c r="L22" s="72">
        <v>8</v>
      </c>
      <c r="M22" s="174">
        <v>42997</v>
      </c>
      <c r="N22" s="101" t="s">
        <v>62</v>
      </c>
      <c r="O22" s="220" t="s">
        <v>61</v>
      </c>
    </row>
    <row r="23" spans="1:16" ht="20.100000000000001" customHeight="1" x14ac:dyDescent="0.25">
      <c r="A23" s="337" t="s">
        <v>1057</v>
      </c>
      <c r="B23" s="28" t="s">
        <v>141</v>
      </c>
      <c r="C23" s="204" t="s">
        <v>689</v>
      </c>
      <c r="D23" s="207" t="s">
        <v>596</v>
      </c>
      <c r="E23" s="72"/>
      <c r="F23" s="346"/>
      <c r="G23" s="72"/>
      <c r="H23" s="72">
        <v>1</v>
      </c>
      <c r="I23" s="72"/>
      <c r="J23" s="72">
        <v>4</v>
      </c>
      <c r="K23" s="72">
        <v>2</v>
      </c>
      <c r="L23" s="72">
        <v>3</v>
      </c>
      <c r="M23" s="174">
        <v>44437</v>
      </c>
      <c r="N23" s="101" t="s">
        <v>77</v>
      </c>
      <c r="O23" s="220" t="s">
        <v>65</v>
      </c>
    </row>
    <row r="24" spans="1:16" ht="20.100000000000001" customHeight="1" x14ac:dyDescent="0.25">
      <c r="A24" s="338" t="s">
        <v>1058</v>
      </c>
      <c r="B24" s="28" t="s">
        <v>141</v>
      </c>
      <c r="C24" s="204" t="s">
        <v>597</v>
      </c>
      <c r="D24" s="207" t="s">
        <v>598</v>
      </c>
      <c r="E24" s="72">
        <v>1</v>
      </c>
      <c r="F24" s="346"/>
      <c r="G24" s="72"/>
      <c r="H24" s="72">
        <v>6</v>
      </c>
      <c r="I24" s="72"/>
      <c r="J24" s="72">
        <v>34</v>
      </c>
      <c r="K24" s="72">
        <v>21</v>
      </c>
      <c r="L24" s="72">
        <v>30</v>
      </c>
      <c r="M24" s="174">
        <v>44179</v>
      </c>
      <c r="N24" s="101" t="s">
        <v>82</v>
      </c>
      <c r="O24" s="220" t="s">
        <v>86</v>
      </c>
    </row>
    <row r="25" spans="1:16" ht="20.100000000000001" customHeight="1" x14ac:dyDescent="0.25">
      <c r="A25" s="338" t="s">
        <v>1059</v>
      </c>
      <c r="B25" s="28" t="s">
        <v>141</v>
      </c>
      <c r="C25" s="204" t="s">
        <v>747</v>
      </c>
      <c r="D25" s="207" t="s">
        <v>504</v>
      </c>
      <c r="E25" s="72">
        <v>4</v>
      </c>
      <c r="F25" s="346"/>
      <c r="G25" s="72"/>
      <c r="H25" s="72">
        <v>7</v>
      </c>
      <c r="I25" s="72">
        <v>3</v>
      </c>
      <c r="J25" s="72">
        <v>46</v>
      </c>
      <c r="K25" s="72">
        <v>43</v>
      </c>
      <c r="L25" s="72">
        <v>12</v>
      </c>
      <c r="M25" s="174">
        <v>43356</v>
      </c>
      <c r="N25" s="101" t="s">
        <v>70</v>
      </c>
      <c r="O25" s="220" t="s">
        <v>65</v>
      </c>
      <c r="P25" s="14" t="s">
        <v>34</v>
      </c>
    </row>
    <row r="26" spans="1:16" ht="20.100000000000001" customHeight="1" thickBot="1" x14ac:dyDescent="0.3">
      <c r="A26" s="338" t="s">
        <v>1060</v>
      </c>
      <c r="B26" s="28" t="s">
        <v>141</v>
      </c>
      <c r="C26" s="204" t="s">
        <v>677</v>
      </c>
      <c r="D26" s="207" t="s">
        <v>500</v>
      </c>
      <c r="E26" s="72">
        <v>1</v>
      </c>
      <c r="F26" s="346"/>
      <c r="G26" s="72"/>
      <c r="H26" s="72">
        <v>5</v>
      </c>
      <c r="I26" s="72"/>
      <c r="J26" s="72">
        <v>19</v>
      </c>
      <c r="K26" s="72">
        <v>18</v>
      </c>
      <c r="L26" s="72">
        <v>2</v>
      </c>
      <c r="M26" s="174">
        <v>44193</v>
      </c>
      <c r="N26" s="101" t="s">
        <v>922</v>
      </c>
      <c r="O26" s="220" t="s">
        <v>59</v>
      </c>
    </row>
    <row r="27" spans="1:16" ht="20.100000000000001" customHeight="1" x14ac:dyDescent="0.25">
      <c r="A27" s="337" t="s">
        <v>1061</v>
      </c>
      <c r="B27" s="28" t="s">
        <v>141</v>
      </c>
      <c r="C27" s="204" t="s">
        <v>665</v>
      </c>
      <c r="D27" s="207" t="s">
        <v>666</v>
      </c>
      <c r="E27" s="72"/>
      <c r="F27" s="346"/>
      <c r="G27" s="72"/>
      <c r="H27" s="72">
        <v>2</v>
      </c>
      <c r="I27" s="72"/>
      <c r="J27" s="72">
        <v>14</v>
      </c>
      <c r="K27" s="72">
        <v>11</v>
      </c>
      <c r="L27" s="72">
        <v>24</v>
      </c>
      <c r="M27" s="174">
        <v>43791</v>
      </c>
      <c r="N27" s="101" t="s">
        <v>77</v>
      </c>
      <c r="O27" s="220" t="s">
        <v>61</v>
      </c>
    </row>
    <row r="28" spans="1:16" ht="20.100000000000001" customHeight="1" x14ac:dyDescent="0.25">
      <c r="A28" s="338" t="s">
        <v>1062</v>
      </c>
      <c r="B28" s="28" t="s">
        <v>141</v>
      </c>
      <c r="C28" s="204" t="s">
        <v>492</v>
      </c>
      <c r="D28" s="207" t="s">
        <v>20</v>
      </c>
      <c r="E28" s="72">
        <v>2</v>
      </c>
      <c r="F28" s="346"/>
      <c r="G28" s="72"/>
      <c r="H28" s="72">
        <v>13</v>
      </c>
      <c r="I28" s="72">
        <v>1</v>
      </c>
      <c r="J28" s="72">
        <v>53</v>
      </c>
      <c r="K28" s="72">
        <v>46</v>
      </c>
      <c r="L28" s="72">
        <v>10</v>
      </c>
      <c r="M28" s="174">
        <v>44409</v>
      </c>
      <c r="N28" s="101" t="s">
        <v>58</v>
      </c>
      <c r="O28" s="220" t="s">
        <v>620</v>
      </c>
    </row>
    <row r="29" spans="1:16" ht="20.100000000000001" customHeight="1" x14ac:dyDescent="0.25">
      <c r="A29" s="338" t="s">
        <v>1063</v>
      </c>
      <c r="B29" s="28" t="s">
        <v>141</v>
      </c>
      <c r="C29" s="203" t="s">
        <v>585</v>
      </c>
      <c r="D29" s="207" t="s">
        <v>990</v>
      </c>
      <c r="E29" s="51"/>
      <c r="F29" s="353"/>
      <c r="G29" s="127"/>
      <c r="H29" s="127">
        <v>2</v>
      </c>
      <c r="I29" s="127"/>
      <c r="J29" s="72">
        <v>5</v>
      </c>
      <c r="K29" s="127">
        <v>4</v>
      </c>
      <c r="L29" s="72">
        <v>7</v>
      </c>
      <c r="M29" s="224">
        <v>45857</v>
      </c>
      <c r="N29" s="214" t="s">
        <v>128</v>
      </c>
      <c r="O29" s="220" t="s">
        <v>53</v>
      </c>
    </row>
    <row r="30" spans="1:16" ht="20.100000000000001" customHeight="1" thickBot="1" x14ac:dyDescent="0.3">
      <c r="A30" s="338" t="s">
        <v>1064</v>
      </c>
      <c r="B30" s="28" t="s">
        <v>141</v>
      </c>
      <c r="C30" s="204" t="s">
        <v>911</v>
      </c>
      <c r="D30" s="207" t="s">
        <v>1</v>
      </c>
      <c r="E30" s="151"/>
      <c r="F30" s="352"/>
      <c r="G30" s="115"/>
      <c r="H30" s="115"/>
      <c r="I30" s="115"/>
      <c r="J30" s="72">
        <v>0</v>
      </c>
      <c r="K30" s="127">
        <v>0</v>
      </c>
      <c r="L30" s="72">
        <v>4</v>
      </c>
      <c r="M30" s="224">
        <v>41014</v>
      </c>
      <c r="N30" s="216" t="s">
        <v>944</v>
      </c>
      <c r="O30" s="220" t="s">
        <v>848</v>
      </c>
    </row>
    <row r="31" spans="1:16" ht="20.100000000000001" customHeight="1" x14ac:dyDescent="0.25">
      <c r="A31" s="337" t="s">
        <v>1065</v>
      </c>
      <c r="B31" s="28" t="s">
        <v>141</v>
      </c>
      <c r="C31" s="204" t="s">
        <v>335</v>
      </c>
      <c r="D31" s="207" t="s">
        <v>22</v>
      </c>
      <c r="E31" s="72"/>
      <c r="F31" s="346"/>
      <c r="G31" s="72"/>
      <c r="H31" s="72"/>
      <c r="I31" s="72"/>
      <c r="J31" s="72">
        <v>1</v>
      </c>
      <c r="K31" s="72">
        <v>1</v>
      </c>
      <c r="L31" s="72">
        <v>8</v>
      </c>
      <c r="M31" s="224">
        <v>45543</v>
      </c>
      <c r="N31" s="216" t="s">
        <v>127</v>
      </c>
      <c r="O31" s="216" t="s">
        <v>60</v>
      </c>
    </row>
    <row r="32" spans="1:16" ht="20.100000000000001" customHeight="1" x14ac:dyDescent="0.25">
      <c r="A32" s="338" t="s">
        <v>1066</v>
      </c>
      <c r="B32" s="28" t="s">
        <v>141</v>
      </c>
      <c r="C32" s="203" t="s">
        <v>337</v>
      </c>
      <c r="D32" s="207" t="s">
        <v>496</v>
      </c>
      <c r="E32" s="72"/>
      <c r="F32" s="346"/>
      <c r="G32" s="72"/>
      <c r="H32" s="72"/>
      <c r="I32" s="72"/>
      <c r="J32" s="72">
        <v>3</v>
      </c>
      <c r="K32" s="72">
        <v>0</v>
      </c>
      <c r="L32" s="72">
        <v>11</v>
      </c>
      <c r="M32" s="262" t="s">
        <v>991</v>
      </c>
      <c r="N32" s="216" t="s">
        <v>193</v>
      </c>
      <c r="O32" s="216" t="s">
        <v>60</v>
      </c>
    </row>
    <row r="33" spans="1:16" ht="20.100000000000001" customHeight="1" x14ac:dyDescent="0.25">
      <c r="A33" s="338" t="s">
        <v>1067</v>
      </c>
      <c r="B33" s="28" t="s">
        <v>141</v>
      </c>
      <c r="C33" s="203" t="s">
        <v>337</v>
      </c>
      <c r="D33" s="207" t="s">
        <v>385</v>
      </c>
      <c r="E33" s="72">
        <v>4</v>
      </c>
      <c r="F33" s="346"/>
      <c r="G33" s="72"/>
      <c r="H33" s="72">
        <v>45</v>
      </c>
      <c r="I33" s="72">
        <v>3</v>
      </c>
      <c r="J33" s="72">
        <v>148</v>
      </c>
      <c r="K33" s="72">
        <v>143</v>
      </c>
      <c r="L33" s="72">
        <v>6</v>
      </c>
      <c r="M33" s="174">
        <v>44213</v>
      </c>
      <c r="N33" s="101" t="s">
        <v>70</v>
      </c>
      <c r="O33" s="220" t="s">
        <v>60</v>
      </c>
      <c r="P33" s="14" t="s">
        <v>34</v>
      </c>
    </row>
    <row r="34" spans="1:16" ht="20.100000000000001" customHeight="1" thickBot="1" x14ac:dyDescent="0.3">
      <c r="A34" s="338" t="s">
        <v>1068</v>
      </c>
      <c r="B34" s="28" t="s">
        <v>141</v>
      </c>
      <c r="C34" s="203" t="s">
        <v>346</v>
      </c>
      <c r="D34" s="207" t="s">
        <v>382</v>
      </c>
      <c r="E34" s="72"/>
      <c r="F34" s="346"/>
      <c r="G34" s="72">
        <v>2</v>
      </c>
      <c r="H34" s="72">
        <v>5</v>
      </c>
      <c r="I34" s="72"/>
      <c r="J34" s="72">
        <v>27</v>
      </c>
      <c r="K34" s="72">
        <v>25</v>
      </c>
      <c r="L34" s="72">
        <v>3</v>
      </c>
      <c r="M34" s="174">
        <v>45725</v>
      </c>
      <c r="N34" s="101" t="s">
        <v>809</v>
      </c>
      <c r="O34" s="220" t="s">
        <v>59</v>
      </c>
    </row>
    <row r="35" spans="1:16" ht="20.100000000000001" customHeight="1" x14ac:dyDescent="0.25">
      <c r="A35" s="337" t="s">
        <v>1069</v>
      </c>
      <c r="B35" s="28" t="s">
        <v>141</v>
      </c>
      <c r="C35" s="204" t="s">
        <v>338</v>
      </c>
      <c r="D35" s="207" t="s">
        <v>16</v>
      </c>
      <c r="E35" s="72">
        <v>1</v>
      </c>
      <c r="F35" s="346"/>
      <c r="G35" s="72"/>
      <c r="H35" s="72">
        <v>4</v>
      </c>
      <c r="I35" s="72"/>
      <c r="J35" s="72">
        <v>40</v>
      </c>
      <c r="K35" s="72">
        <v>27</v>
      </c>
      <c r="L35" s="72">
        <v>40</v>
      </c>
      <c r="M35" s="174">
        <v>44442</v>
      </c>
      <c r="N35" s="101" t="s">
        <v>72</v>
      </c>
      <c r="O35" s="220" t="s">
        <v>61</v>
      </c>
    </row>
    <row r="36" spans="1:16" ht="20.100000000000001" customHeight="1" x14ac:dyDescent="0.25">
      <c r="A36" s="338" t="s">
        <v>1070</v>
      </c>
      <c r="B36" s="28" t="s">
        <v>141</v>
      </c>
      <c r="C36" s="203" t="s">
        <v>339</v>
      </c>
      <c r="D36" s="207" t="s">
        <v>15</v>
      </c>
      <c r="E36" s="72"/>
      <c r="F36" s="346"/>
      <c r="G36" s="72"/>
      <c r="H36" s="72">
        <v>6</v>
      </c>
      <c r="I36" s="72"/>
      <c r="J36" s="72">
        <v>20</v>
      </c>
      <c r="K36" s="72">
        <v>7</v>
      </c>
      <c r="L36" s="72">
        <v>44</v>
      </c>
      <c r="M36" s="174">
        <v>45403</v>
      </c>
      <c r="N36" s="214" t="s">
        <v>128</v>
      </c>
      <c r="O36" s="220" t="s">
        <v>53</v>
      </c>
    </row>
    <row r="37" spans="1:16" ht="20.100000000000001" customHeight="1" x14ac:dyDescent="0.25">
      <c r="A37" s="338" t="s">
        <v>1071</v>
      </c>
      <c r="B37" s="28" t="s">
        <v>141</v>
      </c>
      <c r="C37" s="204" t="s">
        <v>905</v>
      </c>
      <c r="D37" s="207" t="s">
        <v>588</v>
      </c>
      <c r="E37" s="151"/>
      <c r="F37" s="352"/>
      <c r="G37" s="115"/>
      <c r="H37" s="115">
        <v>1</v>
      </c>
      <c r="I37" s="115"/>
      <c r="J37" s="72">
        <v>7</v>
      </c>
      <c r="K37" s="127">
        <v>6</v>
      </c>
      <c r="L37" s="72">
        <v>6</v>
      </c>
      <c r="M37" s="174">
        <v>43491</v>
      </c>
      <c r="N37" s="214" t="s">
        <v>77</v>
      </c>
      <c r="O37" s="220" t="s">
        <v>66</v>
      </c>
    </row>
    <row r="38" spans="1:16" ht="20.100000000000001" customHeight="1" thickBot="1" x14ac:dyDescent="0.3">
      <c r="A38" s="338" t="s">
        <v>1072</v>
      </c>
      <c r="B38" s="28" t="s">
        <v>141</v>
      </c>
      <c r="C38" s="204" t="s">
        <v>340</v>
      </c>
      <c r="D38" s="207" t="s">
        <v>9</v>
      </c>
      <c r="E38" s="72"/>
      <c r="F38" s="346"/>
      <c r="G38" s="72"/>
      <c r="H38" s="72">
        <v>11</v>
      </c>
      <c r="I38" s="72">
        <v>2</v>
      </c>
      <c r="J38" s="72">
        <v>60</v>
      </c>
      <c r="K38" s="72">
        <v>40</v>
      </c>
      <c r="L38" s="72">
        <v>50</v>
      </c>
      <c r="M38" s="174">
        <v>44604</v>
      </c>
      <c r="N38" s="101" t="s">
        <v>922</v>
      </c>
      <c r="O38" s="220" t="s">
        <v>61</v>
      </c>
    </row>
    <row r="39" spans="1:16" ht="20.100000000000001" customHeight="1" x14ac:dyDescent="0.25">
      <c r="A39" s="337" t="s">
        <v>1073</v>
      </c>
      <c r="B39" s="28" t="s">
        <v>141</v>
      </c>
      <c r="C39" s="204" t="s">
        <v>484</v>
      </c>
      <c r="D39" s="207" t="s">
        <v>485</v>
      </c>
      <c r="E39" s="72"/>
      <c r="F39" s="346"/>
      <c r="G39" s="72"/>
      <c r="H39" s="72">
        <v>1</v>
      </c>
      <c r="I39" s="72">
        <v>1</v>
      </c>
      <c r="J39" s="72">
        <v>7</v>
      </c>
      <c r="K39" s="72">
        <v>7</v>
      </c>
      <c r="L39" s="72">
        <v>0</v>
      </c>
      <c r="M39" s="174">
        <v>44955</v>
      </c>
      <c r="N39" s="101" t="s">
        <v>57</v>
      </c>
      <c r="O39" s="220" t="s">
        <v>53</v>
      </c>
    </row>
    <row r="40" spans="1:16" ht="20.100000000000001" customHeight="1" x14ac:dyDescent="0.25">
      <c r="A40" s="338" t="s">
        <v>1074</v>
      </c>
      <c r="B40" s="28" t="s">
        <v>141</v>
      </c>
      <c r="C40" s="204" t="s">
        <v>902</v>
      </c>
      <c r="D40" s="207" t="s">
        <v>1</v>
      </c>
      <c r="E40" s="151"/>
      <c r="F40" s="352"/>
      <c r="G40" s="115"/>
      <c r="H40" s="115">
        <v>4</v>
      </c>
      <c r="I40" s="115">
        <v>1</v>
      </c>
      <c r="J40" s="72">
        <v>13</v>
      </c>
      <c r="K40" s="127">
        <v>13</v>
      </c>
      <c r="L40" s="72">
        <v>7</v>
      </c>
      <c r="M40" s="174">
        <v>42617</v>
      </c>
      <c r="N40" s="101" t="s">
        <v>80</v>
      </c>
      <c r="O40" s="220" t="s">
        <v>53</v>
      </c>
    </row>
    <row r="41" spans="1:16" ht="20.100000000000001" customHeight="1" x14ac:dyDescent="0.25">
      <c r="A41" s="338" t="s">
        <v>1075</v>
      </c>
      <c r="B41" s="28" t="s">
        <v>141</v>
      </c>
      <c r="C41" s="204" t="s">
        <v>895</v>
      </c>
      <c r="D41" s="207" t="s">
        <v>896</v>
      </c>
      <c r="E41" s="151">
        <v>1</v>
      </c>
      <c r="F41" s="352"/>
      <c r="G41" s="115"/>
      <c r="H41" s="115">
        <v>4</v>
      </c>
      <c r="I41" s="115"/>
      <c r="J41" s="72">
        <v>24</v>
      </c>
      <c r="K41" s="127">
        <v>23</v>
      </c>
      <c r="L41" s="72">
        <v>2</v>
      </c>
      <c r="M41" s="174">
        <v>43330</v>
      </c>
      <c r="N41" s="101" t="s">
        <v>77</v>
      </c>
      <c r="O41" s="220" t="s">
        <v>56</v>
      </c>
    </row>
    <row r="42" spans="1:16" ht="20.100000000000001" customHeight="1" thickBot="1" x14ac:dyDescent="0.3">
      <c r="A42" s="338" t="s">
        <v>1076</v>
      </c>
      <c r="B42" s="28" t="s">
        <v>141</v>
      </c>
      <c r="C42" s="204" t="s">
        <v>663</v>
      </c>
      <c r="D42" s="207" t="s">
        <v>588</v>
      </c>
      <c r="E42" s="72"/>
      <c r="F42" s="346"/>
      <c r="G42" s="72"/>
      <c r="H42" s="72">
        <v>11</v>
      </c>
      <c r="I42" s="72">
        <v>1</v>
      </c>
      <c r="J42" s="72">
        <v>43</v>
      </c>
      <c r="K42" s="72">
        <v>37</v>
      </c>
      <c r="L42" s="72">
        <v>14</v>
      </c>
      <c r="M42" s="174">
        <v>43673</v>
      </c>
      <c r="N42" s="101" t="s">
        <v>922</v>
      </c>
      <c r="O42" s="220" t="s">
        <v>53</v>
      </c>
    </row>
    <row r="43" spans="1:16" ht="20.100000000000001" customHeight="1" x14ac:dyDescent="0.25">
      <c r="A43" s="337" t="s">
        <v>1077</v>
      </c>
      <c r="B43" s="28" t="s">
        <v>141</v>
      </c>
      <c r="C43" s="204" t="s">
        <v>733</v>
      </c>
      <c r="D43" s="207" t="s">
        <v>734</v>
      </c>
      <c r="E43" s="72"/>
      <c r="F43" s="346"/>
      <c r="G43" s="72"/>
      <c r="H43" s="72">
        <v>3</v>
      </c>
      <c r="I43" s="72"/>
      <c r="J43" s="72">
        <v>19</v>
      </c>
      <c r="K43" s="72">
        <v>13</v>
      </c>
      <c r="L43" s="72">
        <v>10</v>
      </c>
      <c r="M43" s="174">
        <v>42449</v>
      </c>
      <c r="N43" s="101" t="s">
        <v>87</v>
      </c>
      <c r="O43" s="220" t="s">
        <v>84</v>
      </c>
    </row>
    <row r="44" spans="1:16" ht="20.100000000000001" customHeight="1" x14ac:dyDescent="0.25">
      <c r="A44" s="338" t="s">
        <v>1078</v>
      </c>
      <c r="B44" s="28" t="s">
        <v>141</v>
      </c>
      <c r="C44" s="204" t="s">
        <v>806</v>
      </c>
      <c r="D44" s="207" t="s">
        <v>807</v>
      </c>
      <c r="E44" s="72"/>
      <c r="F44" s="346"/>
      <c r="G44" s="72"/>
      <c r="H44" s="72"/>
      <c r="I44" s="72"/>
      <c r="J44" s="72">
        <v>0</v>
      </c>
      <c r="K44" s="72">
        <v>0</v>
      </c>
      <c r="L44" s="72">
        <v>1</v>
      </c>
      <c r="M44" s="224" t="s">
        <v>568</v>
      </c>
      <c r="N44" s="216" t="s">
        <v>568</v>
      </c>
      <c r="O44" s="216" t="s">
        <v>568</v>
      </c>
    </row>
    <row r="45" spans="1:16" ht="20.100000000000001" customHeight="1" x14ac:dyDescent="0.25">
      <c r="A45" s="338" t="s">
        <v>1079</v>
      </c>
      <c r="B45" s="28" t="s">
        <v>141</v>
      </c>
      <c r="C45" s="204" t="s">
        <v>909</v>
      </c>
      <c r="D45" s="207" t="s">
        <v>910</v>
      </c>
      <c r="E45" s="151"/>
      <c r="F45" s="352"/>
      <c r="G45" s="115"/>
      <c r="H45" s="115"/>
      <c r="I45" s="115"/>
      <c r="J45" s="72">
        <v>0</v>
      </c>
      <c r="K45" s="127">
        <v>0</v>
      </c>
      <c r="L45" s="72">
        <v>2</v>
      </c>
      <c r="M45" s="224" t="s">
        <v>568</v>
      </c>
      <c r="N45" s="216" t="s">
        <v>568</v>
      </c>
      <c r="O45" s="216" t="s">
        <v>568</v>
      </c>
    </row>
    <row r="46" spans="1:16" ht="20.100000000000001" customHeight="1" thickBot="1" x14ac:dyDescent="0.3">
      <c r="A46" s="338" t="s">
        <v>1080</v>
      </c>
      <c r="B46" s="28" t="s">
        <v>141</v>
      </c>
      <c r="C46" s="204" t="s">
        <v>341</v>
      </c>
      <c r="D46" s="207" t="s">
        <v>917</v>
      </c>
      <c r="E46" s="72">
        <v>1</v>
      </c>
      <c r="F46" s="346"/>
      <c r="G46" s="72"/>
      <c r="H46" s="72">
        <v>23</v>
      </c>
      <c r="I46" s="72">
        <v>3</v>
      </c>
      <c r="J46" s="72">
        <v>68</v>
      </c>
      <c r="K46" s="72">
        <v>63</v>
      </c>
      <c r="L46" s="72">
        <v>8</v>
      </c>
      <c r="M46" s="174">
        <v>44955</v>
      </c>
      <c r="N46" s="101" t="s">
        <v>57</v>
      </c>
      <c r="O46" s="220" t="s">
        <v>53</v>
      </c>
    </row>
    <row r="47" spans="1:16" ht="20.100000000000001" customHeight="1" x14ac:dyDescent="0.25">
      <c r="A47" s="337" t="s">
        <v>1081</v>
      </c>
      <c r="B47" s="28" t="s">
        <v>141</v>
      </c>
      <c r="C47" s="204" t="s">
        <v>342</v>
      </c>
      <c r="D47" s="207" t="s">
        <v>897</v>
      </c>
      <c r="E47" s="151"/>
      <c r="F47" s="352"/>
      <c r="G47" s="115"/>
      <c r="H47" s="115">
        <v>2</v>
      </c>
      <c r="I47" s="115"/>
      <c r="J47" s="72">
        <v>11</v>
      </c>
      <c r="K47" s="127">
        <v>11</v>
      </c>
      <c r="L47" s="72">
        <v>1</v>
      </c>
      <c r="M47" s="174">
        <v>43330</v>
      </c>
      <c r="N47" s="101" t="s">
        <v>77</v>
      </c>
      <c r="O47" s="220" t="s">
        <v>56</v>
      </c>
    </row>
    <row r="48" spans="1:16" ht="20.100000000000001" customHeight="1" x14ac:dyDescent="0.25">
      <c r="A48" s="338" t="s">
        <v>1082</v>
      </c>
      <c r="B48" s="28" t="s">
        <v>141</v>
      </c>
      <c r="C48" s="204" t="s">
        <v>342</v>
      </c>
      <c r="D48" s="207" t="s">
        <v>1</v>
      </c>
      <c r="E48" s="72">
        <v>3</v>
      </c>
      <c r="F48" s="346"/>
      <c r="G48" s="72">
        <v>1</v>
      </c>
      <c r="H48" s="72">
        <v>14</v>
      </c>
      <c r="I48" s="72">
        <v>2</v>
      </c>
      <c r="J48" s="72">
        <v>91</v>
      </c>
      <c r="K48" s="72">
        <v>87</v>
      </c>
      <c r="L48" s="72">
        <v>5</v>
      </c>
      <c r="M48" s="174">
        <v>44604</v>
      </c>
      <c r="N48" s="101" t="s">
        <v>922</v>
      </c>
      <c r="O48" s="220" t="s">
        <v>64</v>
      </c>
      <c r="P48" s="14" t="s">
        <v>34</v>
      </c>
    </row>
    <row r="49" spans="1:16" ht="20.100000000000001" customHeight="1" x14ac:dyDescent="0.25">
      <c r="A49" s="338" t="s">
        <v>1083</v>
      </c>
      <c r="B49" s="28" t="s">
        <v>141</v>
      </c>
      <c r="C49" s="203" t="s">
        <v>391</v>
      </c>
      <c r="D49" s="207" t="s">
        <v>392</v>
      </c>
      <c r="E49" s="72"/>
      <c r="F49" s="346"/>
      <c r="G49" s="72"/>
      <c r="H49" s="72">
        <v>10</v>
      </c>
      <c r="I49" s="72">
        <v>1</v>
      </c>
      <c r="J49" s="72">
        <v>17</v>
      </c>
      <c r="K49" s="72">
        <v>13</v>
      </c>
      <c r="L49" s="72">
        <v>10</v>
      </c>
      <c r="M49" s="174">
        <v>45752</v>
      </c>
      <c r="N49" s="214" t="s">
        <v>128</v>
      </c>
      <c r="O49" s="220" t="s">
        <v>85</v>
      </c>
    </row>
    <row r="50" spans="1:16" ht="20.100000000000001" customHeight="1" thickBot="1" x14ac:dyDescent="0.3">
      <c r="A50" s="338" t="s">
        <v>1084</v>
      </c>
      <c r="B50" s="28" t="s">
        <v>141</v>
      </c>
      <c r="C50" s="203" t="s">
        <v>380</v>
      </c>
      <c r="D50" s="207" t="s">
        <v>381</v>
      </c>
      <c r="E50" s="72">
        <v>2</v>
      </c>
      <c r="F50" s="346"/>
      <c r="G50" s="72"/>
      <c r="H50" s="72">
        <v>9</v>
      </c>
      <c r="I50" s="72">
        <v>2</v>
      </c>
      <c r="J50" s="72">
        <v>19</v>
      </c>
      <c r="K50" s="72">
        <v>16</v>
      </c>
      <c r="L50" s="72">
        <v>4</v>
      </c>
      <c r="M50" s="174">
        <v>45725</v>
      </c>
      <c r="N50" s="101" t="s">
        <v>809</v>
      </c>
      <c r="O50" s="220" t="s">
        <v>59</v>
      </c>
    </row>
    <row r="51" spans="1:16" ht="20.100000000000001" customHeight="1" x14ac:dyDescent="0.25">
      <c r="A51" s="337" t="s">
        <v>1085</v>
      </c>
      <c r="B51" s="28" t="s">
        <v>141</v>
      </c>
      <c r="C51" s="204" t="s">
        <v>591</v>
      </c>
      <c r="D51" s="207" t="s">
        <v>918</v>
      </c>
      <c r="E51" s="72"/>
      <c r="F51" s="346"/>
      <c r="G51" s="72"/>
      <c r="H51" s="72">
        <v>1</v>
      </c>
      <c r="I51" s="72"/>
      <c r="J51" s="72">
        <v>10</v>
      </c>
      <c r="K51" s="72">
        <v>3</v>
      </c>
      <c r="L51" s="72">
        <v>9</v>
      </c>
      <c r="M51" s="213">
        <v>44641</v>
      </c>
      <c r="N51" s="214" t="s">
        <v>71</v>
      </c>
      <c r="O51" s="220" t="s">
        <v>60</v>
      </c>
    </row>
    <row r="52" spans="1:16" ht="20.100000000000001" customHeight="1" x14ac:dyDescent="0.25">
      <c r="A52" s="338" t="s">
        <v>1086</v>
      </c>
      <c r="B52" s="28" t="s">
        <v>141</v>
      </c>
      <c r="C52" s="204" t="s">
        <v>803</v>
      </c>
      <c r="D52" s="207" t="s">
        <v>919</v>
      </c>
      <c r="E52" s="72"/>
      <c r="F52" s="346"/>
      <c r="G52" s="72"/>
      <c r="H52" s="72"/>
      <c r="I52" s="72"/>
      <c r="J52" s="72">
        <v>3</v>
      </c>
      <c r="K52" s="72">
        <v>2</v>
      </c>
      <c r="L52" s="72">
        <v>4</v>
      </c>
      <c r="M52" s="174">
        <v>43673</v>
      </c>
      <c r="N52" s="101" t="s">
        <v>922</v>
      </c>
      <c r="O52" s="220" t="s">
        <v>53</v>
      </c>
    </row>
    <row r="53" spans="1:16" ht="20.100000000000001" customHeight="1" x14ac:dyDescent="0.25">
      <c r="A53" s="338" t="s">
        <v>1087</v>
      </c>
      <c r="B53" s="28" t="s">
        <v>141</v>
      </c>
      <c r="C53" s="204" t="s">
        <v>906</v>
      </c>
      <c r="D53" s="207" t="s">
        <v>907</v>
      </c>
      <c r="E53" s="151"/>
      <c r="F53" s="352"/>
      <c r="G53" s="115"/>
      <c r="H53" s="115"/>
      <c r="I53" s="115"/>
      <c r="J53" s="72">
        <v>5</v>
      </c>
      <c r="K53" s="127">
        <v>5</v>
      </c>
      <c r="L53" s="72">
        <v>0</v>
      </c>
      <c r="M53" s="174">
        <v>43511</v>
      </c>
      <c r="N53" s="101" t="s">
        <v>191</v>
      </c>
      <c r="O53" s="220" t="s">
        <v>66</v>
      </c>
    </row>
    <row r="54" spans="1:16" ht="20.100000000000001" customHeight="1" thickBot="1" x14ac:dyDescent="0.3">
      <c r="A54" s="338" t="s">
        <v>1088</v>
      </c>
      <c r="B54" s="28" t="s">
        <v>141</v>
      </c>
      <c r="C54" s="204" t="s">
        <v>735</v>
      </c>
      <c r="D54" s="207" t="s">
        <v>736</v>
      </c>
      <c r="E54" s="72"/>
      <c r="F54" s="346"/>
      <c r="G54" s="72"/>
      <c r="H54" s="72">
        <v>1</v>
      </c>
      <c r="I54" s="72"/>
      <c r="J54" s="72">
        <v>5</v>
      </c>
      <c r="K54" s="72">
        <v>2</v>
      </c>
      <c r="L54" s="72">
        <v>7</v>
      </c>
      <c r="M54" s="174">
        <v>43770</v>
      </c>
      <c r="N54" s="101" t="s">
        <v>73</v>
      </c>
      <c r="O54" s="220" t="s">
        <v>767</v>
      </c>
    </row>
    <row r="55" spans="1:16" ht="20.100000000000001" customHeight="1" x14ac:dyDescent="0.25">
      <c r="A55" s="337" t="s">
        <v>1089</v>
      </c>
      <c r="B55" s="28" t="s">
        <v>141</v>
      </c>
      <c r="C55" s="204" t="s">
        <v>520</v>
      </c>
      <c r="D55" s="207" t="s">
        <v>521</v>
      </c>
      <c r="E55" s="72"/>
      <c r="F55" s="346"/>
      <c r="G55" s="72"/>
      <c r="H55" s="72"/>
      <c r="I55" s="72"/>
      <c r="J55" s="72">
        <v>0</v>
      </c>
      <c r="K55" s="72">
        <v>0</v>
      </c>
      <c r="L55" s="72">
        <v>1</v>
      </c>
      <c r="M55" s="224" t="s">
        <v>568</v>
      </c>
      <c r="N55" s="215" t="s">
        <v>568</v>
      </c>
      <c r="O55" s="216" t="s">
        <v>568</v>
      </c>
    </row>
    <row r="56" spans="1:16" ht="20.100000000000001" customHeight="1" x14ac:dyDescent="0.25">
      <c r="A56" s="338" t="s">
        <v>1090</v>
      </c>
      <c r="B56" s="28" t="s">
        <v>141</v>
      </c>
      <c r="C56" s="204" t="s">
        <v>503</v>
      </c>
      <c r="D56" s="207" t="s">
        <v>504</v>
      </c>
      <c r="E56" s="72"/>
      <c r="F56" s="346"/>
      <c r="G56" s="72"/>
      <c r="H56" s="72">
        <v>3</v>
      </c>
      <c r="I56" s="72"/>
      <c r="J56" s="72">
        <v>15</v>
      </c>
      <c r="K56" s="72">
        <v>10</v>
      </c>
      <c r="L56" s="72">
        <v>10</v>
      </c>
      <c r="M56" s="174">
        <v>45000</v>
      </c>
      <c r="N56" s="101" t="s">
        <v>75</v>
      </c>
      <c r="O56" s="220" t="s">
        <v>53</v>
      </c>
    </row>
    <row r="57" spans="1:16" ht="20.100000000000001" customHeight="1" x14ac:dyDescent="0.25">
      <c r="A57" s="338" t="s">
        <v>1091</v>
      </c>
      <c r="B57" s="28" t="s">
        <v>141</v>
      </c>
      <c r="C57" s="204" t="s">
        <v>595</v>
      </c>
      <c r="D57" s="207" t="s">
        <v>596</v>
      </c>
      <c r="E57" s="72"/>
      <c r="F57" s="346"/>
      <c r="G57" s="72"/>
      <c r="H57" s="72"/>
      <c r="I57" s="72"/>
      <c r="J57" s="72">
        <v>10</v>
      </c>
      <c r="K57" s="72">
        <v>6</v>
      </c>
      <c r="L57" s="72">
        <v>9</v>
      </c>
      <c r="M57" s="174">
        <v>44459</v>
      </c>
      <c r="N57" s="101" t="s">
        <v>80</v>
      </c>
      <c r="O57" s="220" t="s">
        <v>56</v>
      </c>
    </row>
    <row r="58" spans="1:16" ht="20.100000000000001" customHeight="1" thickBot="1" x14ac:dyDescent="0.3">
      <c r="A58" s="338" t="s">
        <v>1092</v>
      </c>
      <c r="B58" s="28" t="s">
        <v>141</v>
      </c>
      <c r="C58" s="204" t="s">
        <v>605</v>
      </c>
      <c r="D58" s="207" t="s">
        <v>496</v>
      </c>
      <c r="E58" s="72"/>
      <c r="F58" s="346"/>
      <c r="G58" s="72"/>
      <c r="H58" s="72"/>
      <c r="I58" s="72"/>
      <c r="J58" s="72">
        <v>1</v>
      </c>
      <c r="K58" s="72">
        <v>1</v>
      </c>
      <c r="L58" s="72">
        <v>0</v>
      </c>
      <c r="M58" s="174">
        <v>44619</v>
      </c>
      <c r="N58" s="101" t="s">
        <v>76</v>
      </c>
      <c r="O58" s="220" t="s">
        <v>84</v>
      </c>
    </row>
    <row r="59" spans="1:16" ht="20.100000000000001" customHeight="1" x14ac:dyDescent="0.25">
      <c r="A59" s="337" t="s">
        <v>1093</v>
      </c>
      <c r="B59" s="28" t="s">
        <v>141</v>
      </c>
      <c r="C59" s="204" t="s">
        <v>501</v>
      </c>
      <c r="D59" s="207" t="s">
        <v>502</v>
      </c>
      <c r="E59" s="72"/>
      <c r="F59" s="346"/>
      <c r="G59" s="72"/>
      <c r="H59" s="72"/>
      <c r="I59" s="72"/>
      <c r="J59" s="72">
        <v>6</v>
      </c>
      <c r="K59" s="72">
        <v>4</v>
      </c>
      <c r="L59" s="72">
        <v>3</v>
      </c>
      <c r="M59" s="174">
        <v>44975</v>
      </c>
      <c r="N59" s="101" t="s">
        <v>71</v>
      </c>
      <c r="O59" s="220" t="s">
        <v>60</v>
      </c>
    </row>
    <row r="60" spans="1:16" ht="20.100000000000001" customHeight="1" x14ac:dyDescent="0.25">
      <c r="A60" s="338" t="s">
        <v>1094</v>
      </c>
      <c r="B60" s="28" t="s">
        <v>141</v>
      </c>
      <c r="C60" s="204" t="s">
        <v>894</v>
      </c>
      <c r="D60" s="207" t="s">
        <v>920</v>
      </c>
      <c r="E60" s="151">
        <v>2</v>
      </c>
      <c r="F60" s="352"/>
      <c r="G60" s="115"/>
      <c r="H60" s="115">
        <v>5</v>
      </c>
      <c r="I60" s="115">
        <v>1</v>
      </c>
      <c r="J60" s="72">
        <v>35</v>
      </c>
      <c r="K60" s="127">
        <v>35</v>
      </c>
      <c r="L60" s="72">
        <v>0</v>
      </c>
      <c r="M60" s="218">
        <v>41585</v>
      </c>
      <c r="N60" s="219" t="s">
        <v>128</v>
      </c>
      <c r="O60" s="220" t="s">
        <v>66</v>
      </c>
      <c r="P60" s="14" t="s">
        <v>34</v>
      </c>
    </row>
    <row r="61" spans="1:16" ht="20.100000000000001" customHeight="1" thickBot="1" x14ac:dyDescent="0.3">
      <c r="A61" s="338" t="s">
        <v>1095</v>
      </c>
      <c r="B61" s="28" t="s">
        <v>141</v>
      </c>
      <c r="C61" s="204" t="s">
        <v>664</v>
      </c>
      <c r="D61" s="207" t="s">
        <v>921</v>
      </c>
      <c r="E61" s="72">
        <v>1</v>
      </c>
      <c r="F61" s="346"/>
      <c r="G61" s="72"/>
      <c r="H61" s="72">
        <v>3</v>
      </c>
      <c r="I61" s="72">
        <v>1</v>
      </c>
      <c r="J61" s="72">
        <v>29</v>
      </c>
      <c r="K61" s="72">
        <v>27</v>
      </c>
      <c r="L61" s="72">
        <v>7</v>
      </c>
      <c r="M61" s="217">
        <v>43724</v>
      </c>
      <c r="N61" s="122" t="s">
        <v>70</v>
      </c>
      <c r="O61" s="221" t="s">
        <v>56</v>
      </c>
    </row>
    <row r="62" spans="1:16" ht="20.100000000000001" customHeight="1" thickBot="1" x14ac:dyDescent="0.3">
      <c r="A62" s="338" t="s">
        <v>1096</v>
      </c>
      <c r="B62" s="177" t="s">
        <v>139</v>
      </c>
      <c r="C62" s="201" t="s">
        <v>805</v>
      </c>
      <c r="D62" s="225" t="s">
        <v>518</v>
      </c>
      <c r="E62" s="129"/>
      <c r="F62" s="351"/>
      <c r="G62" s="129"/>
      <c r="H62" s="129"/>
      <c r="I62" s="129"/>
      <c r="J62" s="129">
        <v>2</v>
      </c>
      <c r="K62" s="129">
        <v>0</v>
      </c>
      <c r="L62" s="129">
        <v>6</v>
      </c>
      <c r="M62" s="174">
        <v>43715</v>
      </c>
      <c r="N62" s="101" t="s">
        <v>191</v>
      </c>
      <c r="O62" s="220" t="s">
        <v>60</v>
      </c>
    </row>
    <row r="63" spans="1:16" ht="20.100000000000001" customHeight="1" x14ac:dyDescent="0.25">
      <c r="A63" s="337" t="s">
        <v>1097</v>
      </c>
      <c r="B63" s="29" t="s">
        <v>139</v>
      </c>
      <c r="C63" s="204" t="s">
        <v>587</v>
      </c>
      <c r="D63" s="207" t="s">
        <v>901</v>
      </c>
      <c r="E63" s="151"/>
      <c r="F63" s="352"/>
      <c r="G63" s="115"/>
      <c r="H63" s="115">
        <v>2</v>
      </c>
      <c r="I63" s="115"/>
      <c r="J63" s="72">
        <v>15</v>
      </c>
      <c r="K63" s="127">
        <v>11</v>
      </c>
      <c r="L63" s="72">
        <v>13</v>
      </c>
      <c r="M63" s="174">
        <v>42801</v>
      </c>
      <c r="N63" s="101" t="s">
        <v>128</v>
      </c>
      <c r="O63" s="220" t="s">
        <v>622</v>
      </c>
    </row>
    <row r="64" spans="1:16" ht="20.100000000000001" customHeight="1" x14ac:dyDescent="0.25">
      <c r="A64" s="338" t="s">
        <v>1098</v>
      </c>
      <c r="B64" s="29" t="s">
        <v>139</v>
      </c>
      <c r="C64" s="204" t="s">
        <v>512</v>
      </c>
      <c r="D64" s="207" t="s">
        <v>513</v>
      </c>
      <c r="E64" s="72"/>
      <c r="F64" s="346"/>
      <c r="G64" s="72"/>
      <c r="H64" s="72"/>
      <c r="I64" s="72"/>
      <c r="J64" s="72">
        <v>1</v>
      </c>
      <c r="K64" s="72">
        <v>0</v>
      </c>
      <c r="L64" s="72">
        <v>5</v>
      </c>
      <c r="M64" s="224">
        <v>45102</v>
      </c>
      <c r="N64" s="216" t="s">
        <v>71</v>
      </c>
      <c r="O64" s="226" t="s">
        <v>66</v>
      </c>
    </row>
    <row r="65" spans="1:16" ht="20.100000000000001" customHeight="1" x14ac:dyDescent="0.25">
      <c r="A65" s="338" t="s">
        <v>1099</v>
      </c>
      <c r="B65" s="29" t="s">
        <v>139</v>
      </c>
      <c r="C65" s="204" t="s">
        <v>684</v>
      </c>
      <c r="D65" s="207" t="s">
        <v>487</v>
      </c>
      <c r="E65" s="72"/>
      <c r="F65" s="346"/>
      <c r="G65" s="72"/>
      <c r="H65" s="72"/>
      <c r="I65" s="72"/>
      <c r="J65" s="72">
        <v>3</v>
      </c>
      <c r="K65" s="72">
        <v>0</v>
      </c>
      <c r="L65" s="72">
        <v>4</v>
      </c>
      <c r="M65" s="213">
        <v>44316</v>
      </c>
      <c r="N65" s="214" t="s">
        <v>80</v>
      </c>
      <c r="O65" s="220" t="s">
        <v>61</v>
      </c>
    </row>
    <row r="66" spans="1:16" ht="20.100000000000001" customHeight="1" thickBot="1" x14ac:dyDescent="0.3">
      <c r="A66" s="338" t="s">
        <v>1100</v>
      </c>
      <c r="B66" s="29" t="s">
        <v>139</v>
      </c>
      <c r="C66" s="204" t="s">
        <v>960</v>
      </c>
      <c r="D66" s="207" t="s">
        <v>483</v>
      </c>
      <c r="E66" s="72">
        <v>6</v>
      </c>
      <c r="F66" s="347" t="s">
        <v>1203</v>
      </c>
      <c r="G66" s="72"/>
      <c r="H66" s="72">
        <v>16</v>
      </c>
      <c r="I66" s="72">
        <v>2</v>
      </c>
      <c r="J66" s="72">
        <v>52</v>
      </c>
      <c r="K66" s="72">
        <v>36</v>
      </c>
      <c r="L66" s="72">
        <v>16</v>
      </c>
      <c r="M66" s="174">
        <v>43326</v>
      </c>
      <c r="N66" s="101" t="s">
        <v>77</v>
      </c>
      <c r="O66" s="220" t="s">
        <v>56</v>
      </c>
    </row>
    <row r="67" spans="1:16" ht="20.100000000000001" customHeight="1" x14ac:dyDescent="0.25">
      <c r="A67" s="337" t="s">
        <v>1101</v>
      </c>
      <c r="B67" s="29" t="s">
        <v>139</v>
      </c>
      <c r="C67" s="204" t="s">
        <v>582</v>
      </c>
      <c r="D67" s="207" t="s">
        <v>583</v>
      </c>
      <c r="E67" s="72">
        <v>2</v>
      </c>
      <c r="F67" s="346"/>
      <c r="G67" s="72"/>
      <c r="H67" s="72">
        <v>12</v>
      </c>
      <c r="I67" s="72">
        <v>3</v>
      </c>
      <c r="J67" s="72">
        <v>83</v>
      </c>
      <c r="K67" s="72">
        <v>63</v>
      </c>
      <c r="L67" s="72">
        <v>24</v>
      </c>
      <c r="M67" s="174">
        <v>43673</v>
      </c>
      <c r="N67" s="101" t="s">
        <v>922</v>
      </c>
      <c r="O67" s="220" t="s">
        <v>53</v>
      </c>
    </row>
    <row r="68" spans="1:16" ht="20.100000000000001" customHeight="1" x14ac:dyDescent="0.25">
      <c r="A68" s="338" t="s">
        <v>1102</v>
      </c>
      <c r="B68" s="29" t="s">
        <v>139</v>
      </c>
      <c r="C68" s="204" t="s">
        <v>581</v>
      </c>
      <c r="D68" s="207" t="s">
        <v>923</v>
      </c>
      <c r="E68" s="72">
        <v>2</v>
      </c>
      <c r="F68" s="346"/>
      <c r="G68" s="72"/>
      <c r="H68" s="72">
        <v>9</v>
      </c>
      <c r="I68" s="72"/>
      <c r="J68" s="72">
        <v>32</v>
      </c>
      <c r="K68" s="72">
        <v>30</v>
      </c>
      <c r="L68" s="72">
        <v>2</v>
      </c>
      <c r="M68" s="174">
        <v>44633</v>
      </c>
      <c r="N68" s="101" t="s">
        <v>82</v>
      </c>
      <c r="O68" s="220" t="s">
        <v>64</v>
      </c>
    </row>
    <row r="69" spans="1:16" ht="20.100000000000001" customHeight="1" x14ac:dyDescent="0.25">
      <c r="A69" s="338" t="s">
        <v>1103</v>
      </c>
      <c r="B69" s="29" t="s">
        <v>139</v>
      </c>
      <c r="C69" s="204" t="s">
        <v>693</v>
      </c>
      <c r="D69" s="207" t="s">
        <v>694</v>
      </c>
      <c r="E69" s="72"/>
      <c r="F69" s="346"/>
      <c r="G69" s="72"/>
      <c r="H69" s="72"/>
      <c r="I69" s="72"/>
      <c r="J69" s="72">
        <v>6</v>
      </c>
      <c r="K69" s="72">
        <v>1</v>
      </c>
      <c r="L69" s="72">
        <v>8</v>
      </c>
      <c r="M69" s="174">
        <v>44394</v>
      </c>
      <c r="N69" s="101" t="s">
        <v>82</v>
      </c>
      <c r="O69" s="220" t="s">
        <v>84</v>
      </c>
    </row>
    <row r="70" spans="1:16" ht="20.100000000000001" customHeight="1" thickBot="1" x14ac:dyDescent="0.3">
      <c r="A70" s="338" t="s">
        <v>1104</v>
      </c>
      <c r="B70" s="29" t="s">
        <v>139</v>
      </c>
      <c r="C70" s="203" t="s">
        <v>343</v>
      </c>
      <c r="D70" s="207" t="s">
        <v>393</v>
      </c>
      <c r="E70" s="72">
        <v>3</v>
      </c>
      <c r="F70" s="354" t="s">
        <v>1204</v>
      </c>
      <c r="G70" s="72">
        <v>1</v>
      </c>
      <c r="H70" s="72">
        <v>4</v>
      </c>
      <c r="I70" s="72"/>
      <c r="J70" s="72">
        <v>41</v>
      </c>
      <c r="K70" s="72">
        <v>15</v>
      </c>
      <c r="L70" s="72">
        <v>29</v>
      </c>
      <c r="M70" s="174">
        <v>45479</v>
      </c>
      <c r="N70" s="101" t="s">
        <v>74</v>
      </c>
      <c r="O70" s="220" t="s">
        <v>61</v>
      </c>
    </row>
    <row r="71" spans="1:16" ht="20.100000000000001" customHeight="1" x14ac:dyDescent="0.25">
      <c r="A71" s="337" t="s">
        <v>1105</v>
      </c>
      <c r="B71" s="29" t="s">
        <v>139</v>
      </c>
      <c r="C71" s="204" t="s">
        <v>669</v>
      </c>
      <c r="D71" s="207" t="s">
        <v>924</v>
      </c>
      <c r="E71" s="72">
        <v>5</v>
      </c>
      <c r="F71" s="346"/>
      <c r="G71" s="72"/>
      <c r="H71" s="72">
        <v>11</v>
      </c>
      <c r="I71" s="72">
        <v>1</v>
      </c>
      <c r="J71" s="72">
        <v>47</v>
      </c>
      <c r="K71" s="72">
        <v>31</v>
      </c>
      <c r="L71" s="72">
        <v>29</v>
      </c>
      <c r="M71" s="174">
        <v>43673</v>
      </c>
      <c r="N71" s="101" t="s">
        <v>922</v>
      </c>
      <c r="O71" s="220" t="s">
        <v>53</v>
      </c>
    </row>
    <row r="72" spans="1:16" ht="20.100000000000001" customHeight="1" x14ac:dyDescent="0.25">
      <c r="A72" s="338" t="s">
        <v>1106</v>
      </c>
      <c r="B72" s="29" t="s">
        <v>139</v>
      </c>
      <c r="C72" s="204" t="s">
        <v>695</v>
      </c>
      <c r="D72" s="207" t="s">
        <v>696</v>
      </c>
      <c r="E72" s="72"/>
      <c r="F72" s="346"/>
      <c r="G72" s="72"/>
      <c r="H72" s="72"/>
      <c r="I72" s="72"/>
      <c r="J72" s="72">
        <v>1</v>
      </c>
      <c r="K72" s="72">
        <v>0</v>
      </c>
      <c r="L72" s="72">
        <v>1</v>
      </c>
      <c r="M72" s="224">
        <v>45242</v>
      </c>
      <c r="N72" s="216" t="s">
        <v>82</v>
      </c>
      <c r="O72" s="226" t="s">
        <v>66</v>
      </c>
    </row>
    <row r="73" spans="1:16" ht="20.100000000000001" customHeight="1" x14ac:dyDescent="0.25">
      <c r="A73" s="338" t="s">
        <v>1107</v>
      </c>
      <c r="B73" s="29" t="s">
        <v>139</v>
      </c>
      <c r="C73" s="204" t="s">
        <v>514</v>
      </c>
      <c r="D73" s="207" t="s">
        <v>515</v>
      </c>
      <c r="E73" s="72"/>
      <c r="F73" s="346"/>
      <c r="G73" s="72"/>
      <c r="H73" s="72"/>
      <c r="I73" s="72"/>
      <c r="J73" s="72">
        <v>1</v>
      </c>
      <c r="K73" s="72">
        <v>1</v>
      </c>
      <c r="L73" s="72">
        <v>2</v>
      </c>
      <c r="M73" s="224">
        <v>45075</v>
      </c>
      <c r="N73" s="215" t="s">
        <v>83</v>
      </c>
      <c r="O73" s="226" t="s">
        <v>66</v>
      </c>
    </row>
    <row r="74" spans="1:16" ht="20.100000000000001" customHeight="1" thickBot="1" x14ac:dyDescent="0.3">
      <c r="A74" s="338" t="s">
        <v>1108</v>
      </c>
      <c r="B74" s="29" t="s">
        <v>139</v>
      </c>
      <c r="C74" s="204" t="s">
        <v>599</v>
      </c>
      <c r="D74" s="207" t="s">
        <v>925</v>
      </c>
      <c r="E74" s="72">
        <v>3</v>
      </c>
      <c r="F74" s="346"/>
      <c r="G74" s="72"/>
      <c r="H74" s="72">
        <v>3</v>
      </c>
      <c r="I74" s="72">
        <v>1</v>
      </c>
      <c r="J74" s="72">
        <v>69</v>
      </c>
      <c r="K74" s="72">
        <v>33</v>
      </c>
      <c r="L74" s="72">
        <v>56</v>
      </c>
      <c r="M74" s="174">
        <v>43004</v>
      </c>
      <c r="N74" s="101" t="s">
        <v>72</v>
      </c>
      <c r="O74" s="220" t="s">
        <v>66</v>
      </c>
    </row>
    <row r="75" spans="1:16" ht="20.100000000000001" customHeight="1" x14ac:dyDescent="0.25">
      <c r="A75" s="337" t="s">
        <v>1109</v>
      </c>
      <c r="B75" s="29" t="s">
        <v>139</v>
      </c>
      <c r="C75" s="204" t="s">
        <v>344</v>
      </c>
      <c r="D75" s="207" t="s">
        <v>6</v>
      </c>
      <c r="E75" s="72">
        <v>6</v>
      </c>
      <c r="F75" s="346"/>
      <c r="G75" s="72">
        <v>1</v>
      </c>
      <c r="H75" s="72">
        <v>9</v>
      </c>
      <c r="I75" s="72">
        <v>1</v>
      </c>
      <c r="J75" s="72">
        <v>42</v>
      </c>
      <c r="K75" s="72">
        <v>36</v>
      </c>
      <c r="L75" s="72">
        <v>7</v>
      </c>
      <c r="M75" s="174">
        <v>45326</v>
      </c>
      <c r="N75" s="101" t="s">
        <v>74</v>
      </c>
      <c r="O75" s="220" t="s">
        <v>84</v>
      </c>
    </row>
    <row r="76" spans="1:16" ht="20.100000000000001" customHeight="1" x14ac:dyDescent="0.25">
      <c r="A76" s="338" t="s">
        <v>1110</v>
      </c>
      <c r="B76" s="29" t="s">
        <v>139</v>
      </c>
      <c r="C76" s="204" t="s">
        <v>926</v>
      </c>
      <c r="D76" s="207" t="s">
        <v>927</v>
      </c>
      <c r="E76" s="72"/>
      <c r="F76" s="346"/>
      <c r="G76" s="72"/>
      <c r="H76" s="72"/>
      <c r="I76" s="72"/>
      <c r="J76" s="72">
        <v>11</v>
      </c>
      <c r="K76" s="72">
        <v>5</v>
      </c>
      <c r="L76" s="72">
        <v>6</v>
      </c>
      <c r="M76" s="174">
        <v>45089</v>
      </c>
      <c r="N76" s="101" t="s">
        <v>58</v>
      </c>
      <c r="O76" s="220" t="s">
        <v>84</v>
      </c>
    </row>
    <row r="77" spans="1:16" ht="20.100000000000001" customHeight="1" x14ac:dyDescent="0.25">
      <c r="A77" s="338" t="s">
        <v>1111</v>
      </c>
      <c r="B77" s="29" t="s">
        <v>139</v>
      </c>
      <c r="C77" s="204" t="s">
        <v>488</v>
      </c>
      <c r="D77" s="207" t="s">
        <v>928</v>
      </c>
      <c r="E77" s="72"/>
      <c r="F77" s="346"/>
      <c r="G77" s="72"/>
      <c r="H77" s="72">
        <v>7</v>
      </c>
      <c r="I77" s="72">
        <v>2</v>
      </c>
      <c r="J77" s="72">
        <v>32</v>
      </c>
      <c r="K77" s="72">
        <v>24</v>
      </c>
      <c r="L77" s="72">
        <v>9</v>
      </c>
      <c r="M77" s="174">
        <v>44955</v>
      </c>
      <c r="N77" s="101" t="s">
        <v>57</v>
      </c>
      <c r="O77" s="220" t="s">
        <v>53</v>
      </c>
    </row>
    <row r="78" spans="1:16" ht="20.100000000000001" customHeight="1" thickBot="1" x14ac:dyDescent="0.3">
      <c r="A78" s="338" t="s">
        <v>1112</v>
      </c>
      <c r="B78" s="29" t="s">
        <v>139</v>
      </c>
      <c r="C78" s="204" t="s">
        <v>345</v>
      </c>
      <c r="D78" s="207" t="s">
        <v>4</v>
      </c>
      <c r="E78" s="72">
        <v>9</v>
      </c>
      <c r="F78" s="346"/>
      <c r="G78" s="72"/>
      <c r="H78" s="72">
        <v>12</v>
      </c>
      <c r="I78" s="72">
        <v>1</v>
      </c>
      <c r="J78" s="72">
        <v>74</v>
      </c>
      <c r="K78" s="72">
        <v>69</v>
      </c>
      <c r="L78" s="72">
        <v>5</v>
      </c>
      <c r="M78" s="174">
        <v>44955</v>
      </c>
      <c r="N78" s="101" t="s">
        <v>57</v>
      </c>
      <c r="O78" s="220" t="s">
        <v>53</v>
      </c>
      <c r="P78" s="14" t="s">
        <v>34</v>
      </c>
    </row>
    <row r="79" spans="1:16" ht="20.100000000000001" customHeight="1" x14ac:dyDescent="0.25">
      <c r="A79" s="337" t="s">
        <v>1113</v>
      </c>
      <c r="B79" s="29" t="s">
        <v>139</v>
      </c>
      <c r="C79" s="204" t="s">
        <v>592</v>
      </c>
      <c r="D79" s="207" t="s">
        <v>679</v>
      </c>
      <c r="E79" s="72"/>
      <c r="F79" s="346"/>
      <c r="G79" s="72"/>
      <c r="H79" s="72"/>
      <c r="I79" s="72"/>
      <c r="J79" s="72">
        <v>4</v>
      </c>
      <c r="K79" s="72">
        <v>1</v>
      </c>
      <c r="L79" s="72">
        <v>4</v>
      </c>
      <c r="M79" s="174">
        <v>44745</v>
      </c>
      <c r="N79" s="101" t="s">
        <v>76</v>
      </c>
      <c r="O79" s="220" t="s">
        <v>53</v>
      </c>
    </row>
    <row r="80" spans="1:16" ht="20.100000000000001" customHeight="1" x14ac:dyDescent="0.25">
      <c r="A80" s="338" t="s">
        <v>1114</v>
      </c>
      <c r="B80" s="29" t="s">
        <v>139</v>
      </c>
      <c r="C80" s="204" t="s">
        <v>493</v>
      </c>
      <c r="D80" s="207" t="s">
        <v>929</v>
      </c>
      <c r="E80" s="72">
        <v>2</v>
      </c>
      <c r="F80" s="346"/>
      <c r="G80" s="72"/>
      <c r="H80" s="72">
        <v>6</v>
      </c>
      <c r="I80" s="72"/>
      <c r="J80" s="72">
        <v>34</v>
      </c>
      <c r="K80" s="72">
        <v>24</v>
      </c>
      <c r="L80" s="72">
        <v>18</v>
      </c>
      <c r="M80" s="174">
        <v>44481</v>
      </c>
      <c r="N80" s="101" t="s">
        <v>57</v>
      </c>
      <c r="O80" s="220" t="s">
        <v>86</v>
      </c>
    </row>
    <row r="81" spans="1:16" ht="20.100000000000001" customHeight="1" x14ac:dyDescent="0.25">
      <c r="A81" s="338" t="s">
        <v>1115</v>
      </c>
      <c r="B81" s="29" t="s">
        <v>139</v>
      </c>
      <c r="C81" s="204" t="s">
        <v>495</v>
      </c>
      <c r="D81" s="207" t="s">
        <v>496</v>
      </c>
      <c r="E81" s="72">
        <v>1</v>
      </c>
      <c r="F81" s="346"/>
      <c r="G81" s="72"/>
      <c r="H81" s="72">
        <v>2</v>
      </c>
      <c r="I81" s="72"/>
      <c r="J81" s="72">
        <v>18</v>
      </c>
      <c r="K81" s="72">
        <v>8</v>
      </c>
      <c r="L81" s="72">
        <v>15</v>
      </c>
      <c r="M81" s="174">
        <v>44955</v>
      </c>
      <c r="N81" s="101" t="s">
        <v>57</v>
      </c>
      <c r="O81" s="220" t="s">
        <v>53</v>
      </c>
    </row>
    <row r="82" spans="1:16" ht="20.100000000000001" customHeight="1" thickBot="1" x14ac:dyDescent="0.3">
      <c r="A82" s="338" t="s">
        <v>1116</v>
      </c>
      <c r="B82" s="29" t="s">
        <v>139</v>
      </c>
      <c r="C82" s="204" t="s">
        <v>804</v>
      </c>
      <c r="D82" s="207" t="s">
        <v>160</v>
      </c>
      <c r="E82" s="72"/>
      <c r="F82" s="346"/>
      <c r="G82" s="72"/>
      <c r="H82" s="72"/>
      <c r="I82" s="72"/>
      <c r="J82" s="72">
        <v>1</v>
      </c>
      <c r="K82" s="72">
        <v>0</v>
      </c>
      <c r="L82" s="72">
        <v>6</v>
      </c>
      <c r="M82" s="224">
        <v>43731</v>
      </c>
      <c r="N82" s="216" t="s">
        <v>958</v>
      </c>
      <c r="O82" s="226" t="s">
        <v>766</v>
      </c>
    </row>
    <row r="83" spans="1:16" ht="20.100000000000001" customHeight="1" x14ac:dyDescent="0.25">
      <c r="A83" s="337" t="s">
        <v>1117</v>
      </c>
      <c r="B83" s="29" t="s">
        <v>139</v>
      </c>
      <c r="C83" s="203" t="s">
        <v>335</v>
      </c>
      <c r="D83" s="207" t="s">
        <v>990</v>
      </c>
      <c r="E83" s="72"/>
      <c r="F83" s="346"/>
      <c r="G83" s="72"/>
      <c r="H83" s="72"/>
      <c r="I83" s="72"/>
      <c r="J83" s="72">
        <v>1</v>
      </c>
      <c r="K83" s="72">
        <v>0</v>
      </c>
      <c r="L83" s="72">
        <v>12</v>
      </c>
      <c r="M83" s="262">
        <v>45892</v>
      </c>
      <c r="N83" s="216" t="s">
        <v>90</v>
      </c>
      <c r="O83" s="263" t="s">
        <v>67</v>
      </c>
    </row>
    <row r="84" spans="1:16" ht="20.100000000000001" customHeight="1" x14ac:dyDescent="0.25">
      <c r="A84" s="338" t="s">
        <v>1118</v>
      </c>
      <c r="B84" s="29" t="s">
        <v>139</v>
      </c>
      <c r="C84" s="204" t="s">
        <v>337</v>
      </c>
      <c r="D84" s="207" t="s">
        <v>11</v>
      </c>
      <c r="E84" s="72"/>
      <c r="F84" s="346"/>
      <c r="G84" s="72"/>
      <c r="H84" s="72">
        <v>2</v>
      </c>
      <c r="I84" s="72"/>
      <c r="J84" s="72">
        <v>13</v>
      </c>
      <c r="K84" s="72">
        <v>5</v>
      </c>
      <c r="L84" s="72">
        <v>13</v>
      </c>
      <c r="M84" s="174">
        <v>45326</v>
      </c>
      <c r="N84" s="101" t="s">
        <v>74</v>
      </c>
      <c r="O84" s="220" t="s">
        <v>84</v>
      </c>
    </row>
    <row r="85" spans="1:16" ht="20.100000000000001" customHeight="1" x14ac:dyDescent="0.25">
      <c r="A85" s="338" t="s">
        <v>1119</v>
      </c>
      <c r="B85" s="29" t="s">
        <v>139</v>
      </c>
      <c r="C85" s="204" t="s">
        <v>337</v>
      </c>
      <c r="D85" s="207" t="s">
        <v>930</v>
      </c>
      <c r="E85" s="151">
        <v>5</v>
      </c>
      <c r="F85" s="352"/>
      <c r="G85" s="115"/>
      <c r="H85" s="115">
        <v>10</v>
      </c>
      <c r="I85" s="115">
        <v>1</v>
      </c>
      <c r="J85" s="72">
        <v>33</v>
      </c>
      <c r="K85" s="127">
        <v>31</v>
      </c>
      <c r="L85" s="72">
        <v>2</v>
      </c>
      <c r="M85" s="174">
        <v>42612</v>
      </c>
      <c r="N85" s="101" t="s">
        <v>128</v>
      </c>
      <c r="O85" s="220" t="s">
        <v>53</v>
      </c>
      <c r="P85" s="14" t="s">
        <v>34</v>
      </c>
    </row>
    <row r="86" spans="1:16" ht="20.100000000000001" customHeight="1" thickBot="1" x14ac:dyDescent="0.3">
      <c r="A86" s="338" t="s">
        <v>1120</v>
      </c>
      <c r="B86" s="29" t="s">
        <v>139</v>
      </c>
      <c r="C86" s="204" t="s">
        <v>346</v>
      </c>
      <c r="D86" s="207" t="s">
        <v>49</v>
      </c>
      <c r="E86" s="72"/>
      <c r="F86" s="346"/>
      <c r="G86" s="72"/>
      <c r="H86" s="72"/>
      <c r="I86" s="72"/>
      <c r="J86" s="72">
        <v>1</v>
      </c>
      <c r="K86" s="72">
        <v>0</v>
      </c>
      <c r="L86" s="72">
        <v>1</v>
      </c>
      <c r="M86" s="174">
        <v>45378</v>
      </c>
      <c r="N86" s="101" t="s">
        <v>71</v>
      </c>
      <c r="O86" s="220" t="s">
        <v>53</v>
      </c>
    </row>
    <row r="87" spans="1:16" ht="20.100000000000001" customHeight="1" x14ac:dyDescent="0.25">
      <c r="A87" s="337" t="s">
        <v>1121</v>
      </c>
      <c r="B87" s="29" t="s">
        <v>139</v>
      </c>
      <c r="C87" s="203" t="s">
        <v>346</v>
      </c>
      <c r="D87" s="207" t="s">
        <v>399</v>
      </c>
      <c r="E87" s="72">
        <v>4</v>
      </c>
      <c r="F87" s="346"/>
      <c r="G87" s="72"/>
      <c r="H87" s="72">
        <v>3</v>
      </c>
      <c r="I87" s="72"/>
      <c r="J87" s="72">
        <v>43</v>
      </c>
      <c r="K87" s="72">
        <v>21</v>
      </c>
      <c r="L87" s="72">
        <v>43</v>
      </c>
      <c r="M87" s="174">
        <v>45121</v>
      </c>
      <c r="N87" s="101" t="s">
        <v>74</v>
      </c>
      <c r="O87" s="220" t="s">
        <v>53</v>
      </c>
    </row>
    <row r="88" spans="1:16" ht="20.100000000000001" customHeight="1" x14ac:dyDescent="0.25">
      <c r="A88" s="338" t="s">
        <v>1122</v>
      </c>
      <c r="B88" s="29" t="s">
        <v>139</v>
      </c>
      <c r="C88" s="204" t="s">
        <v>761</v>
      </c>
      <c r="D88" s="207" t="s">
        <v>15</v>
      </c>
      <c r="E88" s="72"/>
      <c r="F88" s="346"/>
      <c r="G88" s="72"/>
      <c r="H88" s="72">
        <v>1</v>
      </c>
      <c r="I88" s="72">
        <v>1</v>
      </c>
      <c r="J88" s="72">
        <v>3</v>
      </c>
      <c r="K88" s="72">
        <v>0</v>
      </c>
      <c r="L88" s="72">
        <v>4</v>
      </c>
      <c r="M88" s="224">
        <v>43724</v>
      </c>
      <c r="N88" s="216" t="s">
        <v>70</v>
      </c>
      <c r="O88" s="226" t="s">
        <v>56</v>
      </c>
    </row>
    <row r="89" spans="1:16" ht="20.100000000000001" customHeight="1" x14ac:dyDescent="0.25">
      <c r="A89" s="338" t="s">
        <v>1123</v>
      </c>
      <c r="B89" s="29" t="s">
        <v>139</v>
      </c>
      <c r="C89" s="204" t="s">
        <v>347</v>
      </c>
      <c r="D89" s="207" t="s">
        <v>160</v>
      </c>
      <c r="E89" s="72"/>
      <c r="F89" s="346"/>
      <c r="G89" s="72"/>
      <c r="H89" s="72">
        <v>1</v>
      </c>
      <c r="I89" s="72"/>
      <c r="J89" s="72">
        <v>4</v>
      </c>
      <c r="K89" s="72">
        <v>2</v>
      </c>
      <c r="L89" s="72">
        <v>8</v>
      </c>
      <c r="M89" s="174">
        <v>45514</v>
      </c>
      <c r="N89" s="101" t="s">
        <v>76</v>
      </c>
      <c r="O89" s="220" t="s">
        <v>68</v>
      </c>
    </row>
    <row r="90" spans="1:16" ht="20.100000000000001" customHeight="1" thickBot="1" x14ac:dyDescent="0.3">
      <c r="A90" s="338" t="s">
        <v>1124</v>
      </c>
      <c r="B90" s="29" t="s">
        <v>139</v>
      </c>
      <c r="C90" s="204" t="s">
        <v>516</v>
      </c>
      <c r="D90" s="207" t="s">
        <v>517</v>
      </c>
      <c r="E90" s="72"/>
      <c r="F90" s="346"/>
      <c r="G90" s="72"/>
      <c r="H90" s="72">
        <v>2</v>
      </c>
      <c r="I90" s="72">
        <v>1</v>
      </c>
      <c r="J90" s="72">
        <v>14</v>
      </c>
      <c r="K90" s="72">
        <v>10</v>
      </c>
      <c r="L90" s="72">
        <v>5</v>
      </c>
      <c r="M90" s="174">
        <v>45096</v>
      </c>
      <c r="N90" s="101" t="s">
        <v>70</v>
      </c>
      <c r="O90" s="220" t="s">
        <v>68</v>
      </c>
    </row>
    <row r="91" spans="1:16" ht="20.100000000000001" customHeight="1" x14ac:dyDescent="0.25">
      <c r="A91" s="337" t="s">
        <v>1125</v>
      </c>
      <c r="B91" s="29" t="s">
        <v>139</v>
      </c>
      <c r="C91" s="203" t="s">
        <v>348</v>
      </c>
      <c r="D91" s="207" t="s">
        <v>12</v>
      </c>
      <c r="E91" s="72">
        <v>6</v>
      </c>
      <c r="F91" s="346"/>
      <c r="G91" s="72"/>
      <c r="H91" s="72">
        <v>10</v>
      </c>
      <c r="I91" s="72"/>
      <c r="J91" s="72">
        <v>79</v>
      </c>
      <c r="K91" s="72">
        <v>57</v>
      </c>
      <c r="L91" s="72">
        <v>30</v>
      </c>
      <c r="M91" s="174">
        <v>44955</v>
      </c>
      <c r="N91" s="101" t="s">
        <v>57</v>
      </c>
      <c r="O91" s="220" t="s">
        <v>53</v>
      </c>
      <c r="P91" s="14" t="s">
        <v>34</v>
      </c>
    </row>
    <row r="92" spans="1:16" ht="20.100000000000001" customHeight="1" x14ac:dyDescent="0.25">
      <c r="A92" s="338" t="s">
        <v>1126</v>
      </c>
      <c r="B92" s="29" t="s">
        <v>139</v>
      </c>
      <c r="C92" s="204" t="s">
        <v>522</v>
      </c>
      <c r="D92" s="207" t="s">
        <v>527</v>
      </c>
      <c r="E92" s="72"/>
      <c r="F92" s="346"/>
      <c r="G92" s="72"/>
      <c r="H92" s="72"/>
      <c r="I92" s="72"/>
      <c r="J92" s="72">
        <v>3</v>
      </c>
      <c r="K92" s="72">
        <v>1</v>
      </c>
      <c r="L92" s="72">
        <v>2</v>
      </c>
      <c r="M92" s="174">
        <v>45186</v>
      </c>
      <c r="N92" s="101" t="s">
        <v>931</v>
      </c>
      <c r="O92" s="220" t="s">
        <v>66</v>
      </c>
    </row>
    <row r="93" spans="1:16" ht="20.100000000000001" customHeight="1" x14ac:dyDescent="0.25">
      <c r="A93" s="338" t="s">
        <v>1127</v>
      </c>
      <c r="B93" s="29" t="s">
        <v>139</v>
      </c>
      <c r="C93" s="204" t="s">
        <v>898</v>
      </c>
      <c r="D93" s="207" t="s">
        <v>932</v>
      </c>
      <c r="E93" s="151">
        <v>7</v>
      </c>
      <c r="F93" s="355" t="s">
        <v>1205</v>
      </c>
      <c r="G93" s="115"/>
      <c r="H93" s="115">
        <v>2</v>
      </c>
      <c r="I93" s="115">
        <v>1</v>
      </c>
      <c r="J93" s="72">
        <v>36</v>
      </c>
      <c r="K93" s="127">
        <v>36</v>
      </c>
      <c r="L93" s="72">
        <v>0</v>
      </c>
      <c r="M93" s="174">
        <v>42612</v>
      </c>
      <c r="N93" s="101" t="s">
        <v>128</v>
      </c>
      <c r="O93" s="220" t="s">
        <v>53</v>
      </c>
    </row>
    <row r="94" spans="1:16" ht="20.100000000000001" customHeight="1" thickBot="1" x14ac:dyDescent="0.3">
      <c r="A94" s="338" t="s">
        <v>1128</v>
      </c>
      <c r="B94" s="29" t="s">
        <v>139</v>
      </c>
      <c r="C94" s="204" t="s">
        <v>489</v>
      </c>
      <c r="D94" s="207" t="s">
        <v>933</v>
      </c>
      <c r="E94" s="72">
        <v>1</v>
      </c>
      <c r="F94" s="346"/>
      <c r="G94" s="72"/>
      <c r="H94" s="72">
        <v>3</v>
      </c>
      <c r="I94" s="72">
        <v>1</v>
      </c>
      <c r="J94" s="72">
        <v>39</v>
      </c>
      <c r="K94" s="72">
        <v>18</v>
      </c>
      <c r="L94" s="72">
        <v>25</v>
      </c>
      <c r="M94" s="174">
        <v>44612</v>
      </c>
      <c r="N94" s="101" t="s">
        <v>130</v>
      </c>
      <c r="O94" s="220" t="s">
        <v>86</v>
      </c>
    </row>
    <row r="95" spans="1:16" ht="20.100000000000001" customHeight="1" x14ac:dyDescent="0.25">
      <c r="A95" s="337" t="s">
        <v>1129</v>
      </c>
      <c r="B95" s="29" t="s">
        <v>139</v>
      </c>
      <c r="C95" s="203" t="s">
        <v>349</v>
      </c>
      <c r="D95" s="207" t="s">
        <v>10</v>
      </c>
      <c r="E95" s="72">
        <v>4</v>
      </c>
      <c r="F95" s="346"/>
      <c r="G95" s="72"/>
      <c r="H95" s="72">
        <v>26</v>
      </c>
      <c r="I95" s="72">
        <v>2</v>
      </c>
      <c r="J95" s="72">
        <v>65</v>
      </c>
      <c r="K95" s="72">
        <v>65</v>
      </c>
      <c r="L95" s="72">
        <v>0</v>
      </c>
      <c r="M95" s="174">
        <v>45326</v>
      </c>
      <c r="N95" s="101" t="s">
        <v>74</v>
      </c>
      <c r="O95" s="220" t="s">
        <v>84</v>
      </c>
    </row>
    <row r="96" spans="1:16" ht="20.100000000000001" customHeight="1" x14ac:dyDescent="0.25">
      <c r="A96" s="338" t="s">
        <v>1130</v>
      </c>
      <c r="B96" s="29" t="s">
        <v>139</v>
      </c>
      <c r="C96" s="204" t="s">
        <v>510</v>
      </c>
      <c r="D96" s="207" t="s">
        <v>502</v>
      </c>
      <c r="E96" s="72"/>
      <c r="F96" s="346"/>
      <c r="G96" s="72"/>
      <c r="H96" s="72"/>
      <c r="I96" s="72"/>
      <c r="J96" s="72">
        <v>7</v>
      </c>
      <c r="K96" s="72">
        <v>4</v>
      </c>
      <c r="L96" s="72">
        <v>6</v>
      </c>
      <c r="M96" s="174">
        <v>45031</v>
      </c>
      <c r="N96" s="101" t="s">
        <v>78</v>
      </c>
      <c r="O96" s="220" t="s">
        <v>934</v>
      </c>
    </row>
    <row r="97" spans="1:16" ht="20.100000000000001" customHeight="1" x14ac:dyDescent="0.25">
      <c r="A97" s="338" t="s">
        <v>1131</v>
      </c>
      <c r="B97" s="29" t="s">
        <v>139</v>
      </c>
      <c r="C97" s="204" t="s">
        <v>600</v>
      </c>
      <c r="D97" s="207" t="s">
        <v>935</v>
      </c>
      <c r="E97" s="72">
        <v>2</v>
      </c>
      <c r="F97" s="346"/>
      <c r="G97" s="72"/>
      <c r="H97" s="72">
        <v>1</v>
      </c>
      <c r="I97" s="72"/>
      <c r="J97" s="72">
        <v>24</v>
      </c>
      <c r="K97" s="72">
        <v>7</v>
      </c>
      <c r="L97" s="72">
        <v>22</v>
      </c>
      <c r="M97" s="174">
        <v>44409</v>
      </c>
      <c r="N97" s="101" t="s">
        <v>58</v>
      </c>
      <c r="O97" s="220" t="s">
        <v>620</v>
      </c>
    </row>
    <row r="98" spans="1:16" ht="20.100000000000001" customHeight="1" thickBot="1" x14ac:dyDescent="0.3">
      <c r="A98" s="338" t="s">
        <v>1132</v>
      </c>
      <c r="B98" s="29" t="s">
        <v>139</v>
      </c>
      <c r="C98" s="203" t="s">
        <v>350</v>
      </c>
      <c r="D98" s="207" t="s">
        <v>7</v>
      </c>
      <c r="E98" s="72">
        <v>5</v>
      </c>
      <c r="F98" s="349" t="s">
        <v>1206</v>
      </c>
      <c r="G98" s="72">
        <v>3</v>
      </c>
      <c r="H98" s="72">
        <v>11</v>
      </c>
      <c r="I98" s="72">
        <v>1</v>
      </c>
      <c r="J98" s="72">
        <v>62</v>
      </c>
      <c r="K98" s="72">
        <v>41</v>
      </c>
      <c r="L98" s="72">
        <v>23</v>
      </c>
      <c r="M98" s="174">
        <v>45326</v>
      </c>
      <c r="N98" s="101" t="s">
        <v>74</v>
      </c>
      <c r="O98" s="220" t="s">
        <v>84</v>
      </c>
    </row>
    <row r="99" spans="1:16" ht="20.100000000000001" customHeight="1" x14ac:dyDescent="0.25">
      <c r="A99" s="337" t="s">
        <v>1133</v>
      </c>
      <c r="B99" s="29" t="s">
        <v>139</v>
      </c>
      <c r="C99" s="204" t="s">
        <v>670</v>
      </c>
      <c r="D99" s="207" t="s">
        <v>936</v>
      </c>
      <c r="E99" s="72">
        <v>4</v>
      </c>
      <c r="F99" s="346"/>
      <c r="G99" s="72"/>
      <c r="H99" s="72">
        <v>15</v>
      </c>
      <c r="I99" s="72">
        <v>3</v>
      </c>
      <c r="J99" s="72">
        <v>51</v>
      </c>
      <c r="K99" s="72">
        <v>42</v>
      </c>
      <c r="L99" s="72">
        <v>9</v>
      </c>
      <c r="M99" s="174">
        <v>43680</v>
      </c>
      <c r="N99" s="101" t="s">
        <v>83</v>
      </c>
      <c r="O99" s="220" t="s">
        <v>60</v>
      </c>
    </row>
    <row r="100" spans="1:16" ht="20.100000000000001" customHeight="1" x14ac:dyDescent="0.25">
      <c r="A100" s="338" t="s">
        <v>1134</v>
      </c>
      <c r="B100" s="29" t="s">
        <v>139</v>
      </c>
      <c r="C100" s="204" t="s">
        <v>351</v>
      </c>
      <c r="D100" s="207" t="s">
        <v>19</v>
      </c>
      <c r="E100" s="72">
        <v>1</v>
      </c>
      <c r="F100" s="346"/>
      <c r="G100" s="72"/>
      <c r="H100" s="72">
        <v>5</v>
      </c>
      <c r="I100" s="72">
        <v>1</v>
      </c>
      <c r="J100" s="72">
        <v>27</v>
      </c>
      <c r="K100" s="72">
        <v>7</v>
      </c>
      <c r="L100" s="72">
        <v>39</v>
      </c>
      <c r="M100" s="174">
        <v>45010</v>
      </c>
      <c r="N100" s="101" t="s">
        <v>76</v>
      </c>
      <c r="O100" s="220" t="s">
        <v>64</v>
      </c>
    </row>
    <row r="101" spans="1:16" ht="20.100000000000001" customHeight="1" x14ac:dyDescent="0.25">
      <c r="A101" s="338" t="s">
        <v>1135</v>
      </c>
      <c r="B101" s="29" t="s">
        <v>139</v>
      </c>
      <c r="C101" s="204" t="s">
        <v>759</v>
      </c>
      <c r="D101" s="207" t="s">
        <v>760</v>
      </c>
      <c r="E101" s="72">
        <v>3</v>
      </c>
      <c r="F101" s="346"/>
      <c r="G101" s="72"/>
      <c r="H101" s="72">
        <v>2</v>
      </c>
      <c r="I101" s="72"/>
      <c r="J101" s="72">
        <v>17</v>
      </c>
      <c r="K101" s="72">
        <v>10</v>
      </c>
      <c r="L101" s="72">
        <v>13</v>
      </c>
      <c r="M101" s="174">
        <v>43673</v>
      </c>
      <c r="N101" s="101" t="s">
        <v>922</v>
      </c>
      <c r="O101" s="220" t="s">
        <v>53</v>
      </c>
    </row>
    <row r="102" spans="1:16" ht="20.100000000000001" customHeight="1" thickBot="1" x14ac:dyDescent="0.3">
      <c r="A102" s="338" t="s">
        <v>1136</v>
      </c>
      <c r="B102" s="29" t="s">
        <v>139</v>
      </c>
      <c r="C102" s="203" t="s">
        <v>396</v>
      </c>
      <c r="D102" s="207" t="s">
        <v>397</v>
      </c>
      <c r="E102" s="151"/>
      <c r="F102" s="352"/>
      <c r="G102" s="115"/>
      <c r="H102" s="72">
        <v>2</v>
      </c>
      <c r="I102" s="151"/>
      <c r="J102" s="72">
        <v>10</v>
      </c>
      <c r="K102" s="72">
        <v>2</v>
      </c>
      <c r="L102" s="72">
        <v>20</v>
      </c>
      <c r="M102" s="174">
        <v>45725</v>
      </c>
      <c r="N102" s="101" t="s">
        <v>809</v>
      </c>
      <c r="O102" s="220" t="s">
        <v>59</v>
      </c>
    </row>
    <row r="103" spans="1:16" ht="20.100000000000001" customHeight="1" x14ac:dyDescent="0.25">
      <c r="A103" s="337" t="s">
        <v>1137</v>
      </c>
      <c r="B103" s="29" t="s">
        <v>139</v>
      </c>
      <c r="C103" s="204" t="s">
        <v>482</v>
      </c>
      <c r="D103" s="207" t="s">
        <v>937</v>
      </c>
      <c r="E103" s="151">
        <v>1</v>
      </c>
      <c r="F103" s="352"/>
      <c r="G103" s="115"/>
      <c r="H103" s="72">
        <v>4</v>
      </c>
      <c r="I103" s="151"/>
      <c r="J103" s="72">
        <v>25</v>
      </c>
      <c r="K103" s="72">
        <v>11</v>
      </c>
      <c r="L103" s="72">
        <v>14</v>
      </c>
      <c r="M103" s="174">
        <v>44983</v>
      </c>
      <c r="N103" s="101" t="s">
        <v>72</v>
      </c>
      <c r="O103" s="220" t="s">
        <v>60</v>
      </c>
    </row>
    <row r="104" spans="1:16" ht="20.100000000000001" customHeight="1" x14ac:dyDescent="0.25">
      <c r="A104" s="338" t="s">
        <v>1138</v>
      </c>
      <c r="B104" s="29" t="s">
        <v>139</v>
      </c>
      <c r="C104" s="203" t="s">
        <v>387</v>
      </c>
      <c r="D104" s="207" t="s">
        <v>388</v>
      </c>
      <c r="E104" s="151"/>
      <c r="F104" s="352"/>
      <c r="G104" s="115"/>
      <c r="H104" s="72">
        <v>2</v>
      </c>
      <c r="I104" s="151"/>
      <c r="J104" s="72">
        <v>18</v>
      </c>
      <c r="K104" s="72">
        <v>14</v>
      </c>
      <c r="L104" s="72">
        <v>5</v>
      </c>
      <c r="M104" s="174">
        <v>45732</v>
      </c>
      <c r="N104" s="101" t="s">
        <v>57</v>
      </c>
      <c r="O104" s="220" t="s">
        <v>161</v>
      </c>
    </row>
    <row r="105" spans="1:16" ht="20.100000000000001" customHeight="1" x14ac:dyDescent="0.25">
      <c r="A105" s="338" t="s">
        <v>1139</v>
      </c>
      <c r="B105" s="29" t="s">
        <v>139</v>
      </c>
      <c r="C105" s="203" t="s">
        <v>708</v>
      </c>
      <c r="D105" s="207" t="s">
        <v>518</v>
      </c>
      <c r="E105" s="151"/>
      <c r="F105" s="352"/>
      <c r="G105" s="115"/>
      <c r="H105" s="72"/>
      <c r="I105" s="151"/>
      <c r="J105" s="72">
        <v>0</v>
      </c>
      <c r="K105" s="72">
        <v>0</v>
      </c>
      <c r="L105" s="72">
        <v>2</v>
      </c>
      <c r="M105" s="224" t="s">
        <v>568</v>
      </c>
      <c r="N105" s="216" t="s">
        <v>568</v>
      </c>
      <c r="O105" s="216" t="s">
        <v>568</v>
      </c>
    </row>
    <row r="106" spans="1:16" ht="20.100000000000001" customHeight="1" thickBot="1" x14ac:dyDescent="0.3">
      <c r="A106" s="338" t="s">
        <v>1140</v>
      </c>
      <c r="B106" s="29" t="s">
        <v>139</v>
      </c>
      <c r="C106" s="204" t="s">
        <v>486</v>
      </c>
      <c r="D106" s="207" t="s">
        <v>938</v>
      </c>
      <c r="E106" s="151">
        <v>10</v>
      </c>
      <c r="F106" s="352"/>
      <c r="G106" s="115"/>
      <c r="H106" s="72">
        <v>18</v>
      </c>
      <c r="I106" s="151">
        <v>3</v>
      </c>
      <c r="J106" s="72">
        <v>120</v>
      </c>
      <c r="K106" s="72">
        <v>100</v>
      </c>
      <c r="L106" s="72">
        <v>30</v>
      </c>
      <c r="M106" s="174">
        <v>43690</v>
      </c>
      <c r="N106" s="101" t="s">
        <v>78</v>
      </c>
      <c r="O106" s="220" t="s">
        <v>66</v>
      </c>
      <c r="P106" s="14" t="s">
        <v>34</v>
      </c>
    </row>
    <row r="107" spans="1:16" ht="20.100000000000001" customHeight="1" x14ac:dyDescent="0.25">
      <c r="A107" s="337" t="s">
        <v>1141</v>
      </c>
      <c r="B107" s="29" t="s">
        <v>139</v>
      </c>
      <c r="C107" s="204" t="s">
        <v>604</v>
      </c>
      <c r="D107" s="207" t="s">
        <v>795</v>
      </c>
      <c r="E107" s="151">
        <v>3</v>
      </c>
      <c r="F107" s="347" t="s">
        <v>1207</v>
      </c>
      <c r="G107" s="115"/>
      <c r="H107" s="72">
        <v>9</v>
      </c>
      <c r="I107" s="151"/>
      <c r="J107" s="72">
        <v>74</v>
      </c>
      <c r="K107" s="72">
        <v>48</v>
      </c>
      <c r="L107" s="72">
        <v>53</v>
      </c>
      <c r="M107" s="174">
        <v>43359</v>
      </c>
      <c r="N107" s="101" t="s">
        <v>76</v>
      </c>
      <c r="O107" s="220" t="s">
        <v>63</v>
      </c>
      <c r="P107" s="14" t="s">
        <v>34</v>
      </c>
    </row>
    <row r="108" spans="1:16" ht="20.100000000000001" customHeight="1" x14ac:dyDescent="0.25">
      <c r="A108" s="338" t="s">
        <v>1142</v>
      </c>
      <c r="B108" s="29" t="s">
        <v>139</v>
      </c>
      <c r="C108" s="204" t="s">
        <v>352</v>
      </c>
      <c r="D108" s="207" t="s">
        <v>23</v>
      </c>
      <c r="E108" s="151"/>
      <c r="F108" s="352"/>
      <c r="G108" s="115"/>
      <c r="H108" s="72"/>
      <c r="I108" s="151">
        <v>1</v>
      </c>
      <c r="J108" s="72">
        <v>4</v>
      </c>
      <c r="K108" s="72">
        <v>0</v>
      </c>
      <c r="L108" s="72">
        <v>7</v>
      </c>
      <c r="M108" s="174">
        <v>45359</v>
      </c>
      <c r="N108" s="101" t="s">
        <v>76</v>
      </c>
      <c r="O108" s="220" t="s">
        <v>59</v>
      </c>
    </row>
    <row r="109" spans="1:16" ht="20.100000000000001" customHeight="1" x14ac:dyDescent="0.25">
      <c r="A109" s="338" t="s">
        <v>1143</v>
      </c>
      <c r="B109" s="29" t="s">
        <v>139</v>
      </c>
      <c r="C109" s="204" t="s">
        <v>594</v>
      </c>
      <c r="D109" s="207" t="s">
        <v>939</v>
      </c>
      <c r="E109" s="151"/>
      <c r="F109" s="352"/>
      <c r="G109" s="115"/>
      <c r="H109" s="72"/>
      <c r="I109" s="151"/>
      <c r="J109" s="72">
        <v>3</v>
      </c>
      <c r="K109" s="72">
        <v>2</v>
      </c>
      <c r="L109" s="72">
        <v>4</v>
      </c>
      <c r="M109" s="174">
        <v>44759</v>
      </c>
      <c r="N109" s="101" t="s">
        <v>82</v>
      </c>
      <c r="O109" s="220" t="s">
        <v>59</v>
      </c>
    </row>
    <row r="110" spans="1:16" ht="20.100000000000001" customHeight="1" thickBot="1" x14ac:dyDescent="0.3">
      <c r="A110" s="338" t="s">
        <v>1144</v>
      </c>
      <c r="B110" s="29" t="s">
        <v>139</v>
      </c>
      <c r="C110" s="204" t="s">
        <v>904</v>
      </c>
      <c r="D110" s="207" t="s">
        <v>940</v>
      </c>
      <c r="E110" s="151"/>
      <c r="F110" s="352"/>
      <c r="G110" s="115"/>
      <c r="H110" s="115">
        <v>5</v>
      </c>
      <c r="I110" s="115">
        <v>2</v>
      </c>
      <c r="J110" s="72">
        <v>26</v>
      </c>
      <c r="K110" s="127">
        <v>25</v>
      </c>
      <c r="L110" s="72">
        <v>1</v>
      </c>
      <c r="M110" s="174">
        <v>42612</v>
      </c>
      <c r="N110" s="101" t="s">
        <v>128</v>
      </c>
      <c r="O110" s="220" t="s">
        <v>53</v>
      </c>
    </row>
    <row r="111" spans="1:16" ht="20.100000000000001" customHeight="1" x14ac:dyDescent="0.25">
      <c r="A111" s="337" t="s">
        <v>1145</v>
      </c>
      <c r="B111" s="29" t="s">
        <v>139</v>
      </c>
      <c r="C111" s="203" t="s">
        <v>394</v>
      </c>
      <c r="D111" s="207" t="s">
        <v>395</v>
      </c>
      <c r="E111" s="151"/>
      <c r="F111" s="352"/>
      <c r="G111" s="115"/>
      <c r="H111" s="72">
        <v>4</v>
      </c>
      <c r="I111" s="151"/>
      <c r="J111" s="72">
        <v>21</v>
      </c>
      <c r="K111" s="72">
        <v>8</v>
      </c>
      <c r="L111" s="72">
        <v>19</v>
      </c>
      <c r="M111" s="174">
        <v>45725</v>
      </c>
      <c r="N111" s="101" t="s">
        <v>809</v>
      </c>
      <c r="O111" s="220" t="s">
        <v>59</v>
      </c>
    </row>
    <row r="112" spans="1:16" ht="20.100000000000001" customHeight="1" x14ac:dyDescent="0.25">
      <c r="A112" s="338" t="s">
        <v>1146</v>
      </c>
      <c r="B112" s="29" t="s">
        <v>139</v>
      </c>
      <c r="C112" s="204" t="s">
        <v>590</v>
      </c>
      <c r="D112" s="207" t="s">
        <v>692</v>
      </c>
      <c r="E112" s="51">
        <v>2</v>
      </c>
      <c r="F112" s="353"/>
      <c r="G112" s="72"/>
      <c r="H112" s="117">
        <v>5</v>
      </c>
      <c r="I112" s="117"/>
      <c r="J112" s="72">
        <v>55</v>
      </c>
      <c r="K112" s="117">
        <v>37</v>
      </c>
      <c r="L112" s="117">
        <v>34</v>
      </c>
      <c r="M112" s="174">
        <v>41890</v>
      </c>
      <c r="N112" s="101" t="s">
        <v>131</v>
      </c>
      <c r="O112" s="220" t="s">
        <v>64</v>
      </c>
    </row>
    <row r="113" spans="1:16" ht="20.100000000000001" customHeight="1" x14ac:dyDescent="0.25">
      <c r="A113" s="338" t="s">
        <v>1147</v>
      </c>
      <c r="B113" s="29" t="s">
        <v>139</v>
      </c>
      <c r="C113" s="203" t="s">
        <v>400</v>
      </c>
      <c r="D113" s="207" t="s">
        <v>401</v>
      </c>
      <c r="E113" s="51"/>
      <c r="F113" s="353"/>
      <c r="G113" s="72"/>
      <c r="H113" s="117">
        <v>1</v>
      </c>
      <c r="I113" s="117"/>
      <c r="J113" s="72">
        <v>18</v>
      </c>
      <c r="K113" s="117">
        <v>12</v>
      </c>
      <c r="L113" s="117">
        <v>6</v>
      </c>
      <c r="M113" s="174">
        <v>45725</v>
      </c>
      <c r="N113" s="101" t="s">
        <v>809</v>
      </c>
      <c r="O113" s="220" t="s">
        <v>59</v>
      </c>
    </row>
    <row r="114" spans="1:16" ht="20.100000000000001" customHeight="1" thickBot="1" x14ac:dyDescent="0.3">
      <c r="A114" s="338" t="s">
        <v>1148</v>
      </c>
      <c r="B114" s="29" t="s">
        <v>139</v>
      </c>
      <c r="C114" s="204" t="s">
        <v>593</v>
      </c>
      <c r="D114" s="207" t="s">
        <v>941</v>
      </c>
      <c r="E114" s="51">
        <v>1</v>
      </c>
      <c r="F114" s="353"/>
      <c r="G114" s="72"/>
      <c r="H114" s="117">
        <v>3</v>
      </c>
      <c r="I114" s="117"/>
      <c r="J114" s="72">
        <v>24</v>
      </c>
      <c r="K114" s="117">
        <v>15</v>
      </c>
      <c r="L114" s="117">
        <v>9</v>
      </c>
      <c r="M114" s="174">
        <v>44604</v>
      </c>
      <c r="N114" s="101" t="s">
        <v>922</v>
      </c>
      <c r="O114" s="220" t="s">
        <v>61</v>
      </c>
    </row>
    <row r="115" spans="1:16" ht="20.100000000000001" customHeight="1" x14ac:dyDescent="0.25">
      <c r="A115" s="337" t="s">
        <v>1149</v>
      </c>
      <c r="B115" s="29" t="s">
        <v>139</v>
      </c>
      <c r="C115" s="204" t="s">
        <v>682</v>
      </c>
      <c r="D115" s="207" t="s">
        <v>942</v>
      </c>
      <c r="E115" s="51"/>
      <c r="F115" s="353"/>
      <c r="G115" s="72"/>
      <c r="H115" s="117">
        <v>1</v>
      </c>
      <c r="I115" s="117"/>
      <c r="J115" s="72">
        <v>20</v>
      </c>
      <c r="K115" s="117">
        <v>12</v>
      </c>
      <c r="L115" s="117">
        <v>22</v>
      </c>
      <c r="M115" s="174">
        <v>43330</v>
      </c>
      <c r="N115" s="101" t="s">
        <v>77</v>
      </c>
      <c r="O115" s="220" t="s">
        <v>56</v>
      </c>
    </row>
    <row r="116" spans="1:16" ht="20.100000000000001" customHeight="1" x14ac:dyDescent="0.25">
      <c r="A116" s="338" t="s">
        <v>1150</v>
      </c>
      <c r="B116" s="29" t="s">
        <v>139</v>
      </c>
      <c r="C116" s="204" t="s">
        <v>353</v>
      </c>
      <c r="D116" s="207" t="s">
        <v>149</v>
      </c>
      <c r="E116" s="51">
        <v>1</v>
      </c>
      <c r="F116" s="353"/>
      <c r="G116" s="72"/>
      <c r="H116" s="117">
        <v>13</v>
      </c>
      <c r="I116" s="117">
        <v>2</v>
      </c>
      <c r="J116" s="72">
        <v>43</v>
      </c>
      <c r="K116" s="117">
        <v>40</v>
      </c>
      <c r="L116" s="117">
        <v>3</v>
      </c>
      <c r="M116" s="174">
        <v>45359</v>
      </c>
      <c r="N116" s="219" t="s">
        <v>76</v>
      </c>
      <c r="O116" s="220" t="s">
        <v>59</v>
      </c>
    </row>
    <row r="117" spans="1:16" ht="20.100000000000001" customHeight="1" thickBot="1" x14ac:dyDescent="0.3">
      <c r="A117" s="338" t="s">
        <v>1151</v>
      </c>
      <c r="B117" s="29" t="s">
        <v>139</v>
      </c>
      <c r="C117" s="204" t="s">
        <v>900</v>
      </c>
      <c r="D117" s="207" t="s">
        <v>943</v>
      </c>
      <c r="E117" s="151">
        <v>1</v>
      </c>
      <c r="F117" s="352"/>
      <c r="G117" s="115"/>
      <c r="H117" s="115">
        <v>2</v>
      </c>
      <c r="I117" s="115"/>
      <c r="J117" s="72">
        <v>17</v>
      </c>
      <c r="K117" s="127">
        <v>7</v>
      </c>
      <c r="L117" s="72">
        <v>17</v>
      </c>
      <c r="M117" s="217">
        <v>41931</v>
      </c>
      <c r="N117" s="122" t="s">
        <v>944</v>
      </c>
      <c r="O117" s="221" t="s">
        <v>61</v>
      </c>
    </row>
    <row r="118" spans="1:16" ht="20.100000000000001" customHeight="1" thickBot="1" x14ac:dyDescent="0.3">
      <c r="A118" s="338" t="s">
        <v>1152</v>
      </c>
      <c r="B118" s="178" t="s">
        <v>140</v>
      </c>
      <c r="C118" s="201" t="s">
        <v>587</v>
      </c>
      <c r="D118" s="225" t="s">
        <v>588</v>
      </c>
      <c r="E118" s="129">
        <v>13</v>
      </c>
      <c r="F118" s="351"/>
      <c r="G118" s="129"/>
      <c r="H118" s="129">
        <v>12</v>
      </c>
      <c r="I118" s="129">
        <v>1</v>
      </c>
      <c r="J118" s="129">
        <v>90</v>
      </c>
      <c r="K118" s="129">
        <v>47</v>
      </c>
      <c r="L118" s="129">
        <v>66</v>
      </c>
      <c r="M118" s="213">
        <v>43351</v>
      </c>
      <c r="N118" s="214" t="s">
        <v>191</v>
      </c>
      <c r="O118" s="223" t="s">
        <v>66</v>
      </c>
      <c r="P118" s="14" t="s">
        <v>34</v>
      </c>
    </row>
    <row r="119" spans="1:16" ht="20.100000000000001" customHeight="1" x14ac:dyDescent="0.25">
      <c r="A119" s="337" t="s">
        <v>1153</v>
      </c>
      <c r="B119" s="30" t="s">
        <v>140</v>
      </c>
      <c r="C119" s="204" t="s">
        <v>667</v>
      </c>
      <c r="D119" s="207" t="s">
        <v>668</v>
      </c>
      <c r="E119" s="151">
        <v>13</v>
      </c>
      <c r="F119" s="347" t="s">
        <v>1208</v>
      </c>
      <c r="G119" s="72"/>
      <c r="H119" s="72">
        <v>5</v>
      </c>
      <c r="I119" s="72">
        <v>1</v>
      </c>
      <c r="J119" s="72">
        <v>37</v>
      </c>
      <c r="K119" s="72">
        <v>35</v>
      </c>
      <c r="L119" s="72">
        <v>2</v>
      </c>
      <c r="M119" s="174">
        <v>43855</v>
      </c>
      <c r="N119" s="101" t="s">
        <v>922</v>
      </c>
      <c r="O119" s="220" t="s">
        <v>66</v>
      </c>
      <c r="P119" s="14" t="s">
        <v>34</v>
      </c>
    </row>
    <row r="120" spans="1:16" ht="20.100000000000001" customHeight="1" x14ac:dyDescent="0.25">
      <c r="A120" s="338" t="s">
        <v>1154</v>
      </c>
      <c r="B120" s="30" t="s">
        <v>140</v>
      </c>
      <c r="C120" s="204" t="s">
        <v>343</v>
      </c>
      <c r="D120" s="207" t="s">
        <v>945</v>
      </c>
      <c r="E120" s="72"/>
      <c r="F120" s="346"/>
      <c r="G120" s="72"/>
      <c r="H120" s="72"/>
      <c r="I120" s="72"/>
      <c r="J120" s="72">
        <v>4</v>
      </c>
      <c r="K120" s="72">
        <v>0</v>
      </c>
      <c r="L120" s="72">
        <v>8</v>
      </c>
      <c r="M120" s="174">
        <v>43680</v>
      </c>
      <c r="N120" s="101" t="s">
        <v>83</v>
      </c>
      <c r="O120" s="220" t="s">
        <v>60</v>
      </c>
    </row>
    <row r="121" spans="1:16" ht="20.100000000000001" customHeight="1" x14ac:dyDescent="0.25">
      <c r="A121" s="338" t="s">
        <v>1155</v>
      </c>
      <c r="B121" s="30" t="s">
        <v>140</v>
      </c>
      <c r="C121" s="203" t="s">
        <v>354</v>
      </c>
      <c r="D121" s="207" t="s">
        <v>2</v>
      </c>
      <c r="E121" s="72">
        <v>4</v>
      </c>
      <c r="F121" s="350" t="s">
        <v>1209</v>
      </c>
      <c r="G121" s="72"/>
      <c r="H121" s="72">
        <v>3</v>
      </c>
      <c r="I121" s="72">
        <v>1</v>
      </c>
      <c r="J121" s="72">
        <v>40</v>
      </c>
      <c r="K121" s="72">
        <v>31</v>
      </c>
      <c r="L121" s="72">
        <v>12</v>
      </c>
      <c r="M121" s="174">
        <v>45486</v>
      </c>
      <c r="N121" s="101" t="s">
        <v>87</v>
      </c>
      <c r="O121" s="220" t="s">
        <v>53</v>
      </c>
    </row>
    <row r="122" spans="1:16" ht="20.100000000000001" customHeight="1" thickBot="1" x14ac:dyDescent="0.3">
      <c r="A122" s="338" t="s">
        <v>1156</v>
      </c>
      <c r="B122" s="30" t="s">
        <v>140</v>
      </c>
      <c r="C122" s="204" t="s">
        <v>355</v>
      </c>
      <c r="D122" s="207" t="s">
        <v>17</v>
      </c>
      <c r="E122" s="72"/>
      <c r="F122" s="346"/>
      <c r="G122" s="72"/>
      <c r="H122" s="72"/>
      <c r="I122" s="72"/>
      <c r="J122" s="72">
        <v>2</v>
      </c>
      <c r="K122" s="72">
        <v>0</v>
      </c>
      <c r="L122" s="72">
        <v>11</v>
      </c>
      <c r="M122" s="174">
        <v>45462</v>
      </c>
      <c r="N122" s="101" t="s">
        <v>944</v>
      </c>
      <c r="O122" s="220" t="s">
        <v>67</v>
      </c>
    </row>
    <row r="123" spans="1:16" ht="20.100000000000001" customHeight="1" x14ac:dyDescent="0.25">
      <c r="A123" s="337" t="s">
        <v>1157</v>
      </c>
      <c r="B123" s="30" t="s">
        <v>140</v>
      </c>
      <c r="C123" s="204" t="s">
        <v>899</v>
      </c>
      <c r="D123" s="207" t="s">
        <v>946</v>
      </c>
      <c r="E123" s="151">
        <v>5</v>
      </c>
      <c r="F123" s="352"/>
      <c r="G123" s="115"/>
      <c r="H123" s="115">
        <v>4</v>
      </c>
      <c r="I123" s="115">
        <v>2</v>
      </c>
      <c r="J123" s="72">
        <v>23</v>
      </c>
      <c r="K123" s="127">
        <v>16</v>
      </c>
      <c r="L123" s="72">
        <v>13</v>
      </c>
      <c r="M123" s="174">
        <v>43356</v>
      </c>
      <c r="N123" s="101" t="s">
        <v>70</v>
      </c>
      <c r="O123" s="220" t="s">
        <v>65</v>
      </c>
    </row>
    <row r="124" spans="1:16" ht="20.100000000000001" customHeight="1" x14ac:dyDescent="0.25">
      <c r="A124" s="338" t="s">
        <v>1158</v>
      </c>
      <c r="B124" s="30" t="s">
        <v>140</v>
      </c>
      <c r="C124" s="203" t="s">
        <v>404</v>
      </c>
      <c r="D124" s="207" t="s">
        <v>405</v>
      </c>
      <c r="E124" s="72">
        <v>1</v>
      </c>
      <c r="F124" s="346"/>
      <c r="G124" s="72"/>
      <c r="H124" s="72">
        <v>2</v>
      </c>
      <c r="I124" s="72">
        <v>1</v>
      </c>
      <c r="J124" s="72">
        <v>19</v>
      </c>
      <c r="K124" s="72">
        <v>8</v>
      </c>
      <c r="L124" s="72">
        <v>13</v>
      </c>
      <c r="M124" s="174">
        <v>45725</v>
      </c>
      <c r="N124" s="101" t="s">
        <v>809</v>
      </c>
      <c r="O124" s="220" t="s">
        <v>59</v>
      </c>
    </row>
    <row r="125" spans="1:16" ht="20.100000000000001" customHeight="1" x14ac:dyDescent="0.25">
      <c r="A125" s="338" t="s">
        <v>1159</v>
      </c>
      <c r="B125" s="30" t="s">
        <v>140</v>
      </c>
      <c r="C125" s="204" t="s">
        <v>490</v>
      </c>
      <c r="D125" s="207" t="s">
        <v>500</v>
      </c>
      <c r="E125" s="72">
        <v>5</v>
      </c>
      <c r="F125" s="346"/>
      <c r="G125" s="72"/>
      <c r="H125" s="72"/>
      <c r="I125" s="72"/>
      <c r="J125" s="72">
        <v>39</v>
      </c>
      <c r="K125" s="72">
        <v>17</v>
      </c>
      <c r="L125" s="72">
        <v>25</v>
      </c>
      <c r="M125" s="174">
        <v>44641</v>
      </c>
      <c r="N125" s="101" t="s">
        <v>71</v>
      </c>
      <c r="O125" s="220" t="s">
        <v>60</v>
      </c>
    </row>
    <row r="126" spans="1:16" ht="20.100000000000001" customHeight="1" thickBot="1" x14ac:dyDescent="0.3">
      <c r="A126" s="338" t="s">
        <v>1160</v>
      </c>
      <c r="B126" s="30" t="s">
        <v>140</v>
      </c>
      <c r="C126" s="204" t="s">
        <v>356</v>
      </c>
      <c r="D126" s="207" t="s">
        <v>31</v>
      </c>
      <c r="E126" s="72">
        <v>1</v>
      </c>
      <c r="F126" s="346"/>
      <c r="G126" s="72">
        <v>1</v>
      </c>
      <c r="H126" s="72">
        <v>4</v>
      </c>
      <c r="I126" s="72">
        <v>2</v>
      </c>
      <c r="J126" s="72">
        <v>15</v>
      </c>
      <c r="K126" s="127">
        <v>15</v>
      </c>
      <c r="L126" s="72">
        <v>1</v>
      </c>
      <c r="M126" s="174">
        <v>43673</v>
      </c>
      <c r="N126" s="101" t="s">
        <v>922</v>
      </c>
      <c r="O126" s="220" t="s">
        <v>53</v>
      </c>
    </row>
    <row r="127" spans="1:16" ht="20.100000000000001" customHeight="1" x14ac:dyDescent="0.25">
      <c r="A127" s="337" t="s">
        <v>1161</v>
      </c>
      <c r="B127" s="30" t="s">
        <v>140</v>
      </c>
      <c r="C127" s="204" t="s">
        <v>893</v>
      </c>
      <c r="D127" s="207" t="s">
        <v>947</v>
      </c>
      <c r="E127" s="151">
        <v>12</v>
      </c>
      <c r="F127" s="355" t="s">
        <v>1210</v>
      </c>
      <c r="G127" s="115"/>
      <c r="H127" s="115"/>
      <c r="I127" s="115"/>
      <c r="J127" s="72">
        <v>28</v>
      </c>
      <c r="K127" s="72">
        <v>19</v>
      </c>
      <c r="L127" s="72">
        <v>15</v>
      </c>
      <c r="M127" s="174">
        <v>42981</v>
      </c>
      <c r="N127" s="101" t="s">
        <v>83</v>
      </c>
      <c r="O127" s="220" t="s">
        <v>623</v>
      </c>
      <c r="P127" s="14" t="s">
        <v>34</v>
      </c>
    </row>
    <row r="128" spans="1:16" ht="20.100000000000001" customHeight="1" x14ac:dyDescent="0.25">
      <c r="A128" s="338" t="s">
        <v>1162</v>
      </c>
      <c r="B128" s="30" t="s">
        <v>140</v>
      </c>
      <c r="C128" s="203" t="s">
        <v>992</v>
      </c>
      <c r="D128" s="207" t="s">
        <v>993</v>
      </c>
      <c r="E128" s="72">
        <v>2</v>
      </c>
      <c r="F128" s="346"/>
      <c r="G128" s="72">
        <v>1</v>
      </c>
      <c r="H128" s="72">
        <v>1</v>
      </c>
      <c r="I128" s="72">
        <v>2</v>
      </c>
      <c r="J128" s="72">
        <v>14</v>
      </c>
      <c r="K128" s="72">
        <v>14</v>
      </c>
      <c r="L128" s="72">
        <v>0</v>
      </c>
      <c r="M128" s="174">
        <v>45829</v>
      </c>
      <c r="N128" s="101" t="s">
        <v>809</v>
      </c>
      <c r="O128" s="220" t="s">
        <v>84</v>
      </c>
    </row>
    <row r="129" spans="1:16" ht="20.100000000000001" customHeight="1" x14ac:dyDescent="0.25">
      <c r="A129" s="338" t="s">
        <v>1163</v>
      </c>
      <c r="B129" s="30" t="s">
        <v>140</v>
      </c>
      <c r="C129" s="203" t="s">
        <v>997</v>
      </c>
      <c r="D129" s="207" t="s">
        <v>392</v>
      </c>
      <c r="E129" s="72"/>
      <c r="F129" s="346"/>
      <c r="G129" s="72"/>
      <c r="H129" s="72"/>
      <c r="I129" s="72"/>
      <c r="J129" s="72">
        <v>7</v>
      </c>
      <c r="K129" s="72">
        <v>5</v>
      </c>
      <c r="L129" s="72">
        <v>3</v>
      </c>
      <c r="M129" s="174">
        <v>45846</v>
      </c>
      <c r="N129" s="101" t="s">
        <v>62</v>
      </c>
      <c r="O129" s="220" t="s">
        <v>65</v>
      </c>
    </row>
    <row r="130" spans="1:16" ht="20.100000000000001" customHeight="1" thickBot="1" x14ac:dyDescent="0.3">
      <c r="A130" s="338" t="s">
        <v>1164</v>
      </c>
      <c r="B130" s="30" t="s">
        <v>140</v>
      </c>
      <c r="C130" s="204" t="s">
        <v>585</v>
      </c>
      <c r="D130" s="207" t="s">
        <v>948</v>
      </c>
      <c r="E130" s="72">
        <v>6</v>
      </c>
      <c r="F130" s="346"/>
      <c r="G130" s="72"/>
      <c r="H130" s="72">
        <v>4</v>
      </c>
      <c r="I130" s="72"/>
      <c r="J130" s="72">
        <v>50</v>
      </c>
      <c r="K130" s="72">
        <v>34</v>
      </c>
      <c r="L130" s="72">
        <v>10</v>
      </c>
      <c r="M130" s="174">
        <v>44409</v>
      </c>
      <c r="N130" s="101" t="s">
        <v>58</v>
      </c>
      <c r="O130" s="220" t="s">
        <v>620</v>
      </c>
    </row>
    <row r="131" spans="1:16" ht="20.100000000000001" customHeight="1" x14ac:dyDescent="0.25">
      <c r="A131" s="337" t="s">
        <v>1165</v>
      </c>
      <c r="B131" s="30" t="s">
        <v>140</v>
      </c>
      <c r="C131" s="203" t="s">
        <v>585</v>
      </c>
      <c r="D131" s="207" t="s">
        <v>807</v>
      </c>
      <c r="E131" s="72"/>
      <c r="F131" s="346"/>
      <c r="G131" s="72"/>
      <c r="H131" s="72"/>
      <c r="I131" s="72"/>
      <c r="J131" s="72">
        <v>2</v>
      </c>
      <c r="K131" s="72">
        <v>0</v>
      </c>
      <c r="L131" s="72">
        <v>5</v>
      </c>
      <c r="M131" s="224">
        <v>45929</v>
      </c>
      <c r="N131" s="216" t="s">
        <v>90</v>
      </c>
      <c r="O131" s="220" t="s">
        <v>84</v>
      </c>
    </row>
    <row r="132" spans="1:16" ht="20.100000000000001" customHeight="1" x14ac:dyDescent="0.25">
      <c r="A132" s="338" t="s">
        <v>1166</v>
      </c>
      <c r="B132" s="30" t="s">
        <v>140</v>
      </c>
      <c r="C132" s="204" t="s">
        <v>671</v>
      </c>
      <c r="D132" s="207" t="s">
        <v>950</v>
      </c>
      <c r="E132" s="72">
        <v>5</v>
      </c>
      <c r="F132" s="346"/>
      <c r="G132" s="72"/>
      <c r="H132" s="72">
        <v>3</v>
      </c>
      <c r="I132" s="72"/>
      <c r="J132" s="72">
        <v>18</v>
      </c>
      <c r="K132" s="72">
        <v>8</v>
      </c>
      <c r="L132" s="72">
        <v>11</v>
      </c>
      <c r="M132" s="174">
        <v>44135</v>
      </c>
      <c r="N132" s="101" t="s">
        <v>951</v>
      </c>
      <c r="O132" s="220" t="s">
        <v>84</v>
      </c>
    </row>
    <row r="133" spans="1:16" ht="20.100000000000001" customHeight="1" x14ac:dyDescent="0.25">
      <c r="A133" s="338" t="s">
        <v>1167</v>
      </c>
      <c r="B133" s="30" t="s">
        <v>140</v>
      </c>
      <c r="C133" s="204" t="s">
        <v>357</v>
      </c>
      <c r="D133" s="207" t="s">
        <v>949</v>
      </c>
      <c r="E133" s="72"/>
      <c r="F133" s="346"/>
      <c r="G133" s="72"/>
      <c r="H133" s="72">
        <v>1</v>
      </c>
      <c r="I133" s="72"/>
      <c r="J133" s="72">
        <v>4</v>
      </c>
      <c r="K133" s="72">
        <v>0</v>
      </c>
      <c r="L133" s="72">
        <v>6</v>
      </c>
      <c r="M133" s="174">
        <v>45543</v>
      </c>
      <c r="N133" s="101" t="s">
        <v>127</v>
      </c>
      <c r="O133" s="220" t="s">
        <v>60</v>
      </c>
    </row>
    <row r="134" spans="1:16" ht="20.100000000000001" customHeight="1" thickBot="1" x14ac:dyDescent="0.3">
      <c r="A134" s="338" t="s">
        <v>1168</v>
      </c>
      <c r="B134" s="30" t="s">
        <v>140</v>
      </c>
      <c r="C134" s="204" t="s">
        <v>601</v>
      </c>
      <c r="D134" s="207" t="s">
        <v>952</v>
      </c>
      <c r="E134" s="72"/>
      <c r="F134" s="346"/>
      <c r="G134" s="72"/>
      <c r="H134" s="72">
        <v>1</v>
      </c>
      <c r="I134" s="72"/>
      <c r="J134" s="72">
        <v>13</v>
      </c>
      <c r="K134" s="72">
        <v>8</v>
      </c>
      <c r="L134" s="72">
        <v>8</v>
      </c>
      <c r="M134" s="174">
        <v>44179</v>
      </c>
      <c r="N134" s="101" t="s">
        <v>82</v>
      </c>
      <c r="O134" s="220" t="s">
        <v>86</v>
      </c>
    </row>
    <row r="135" spans="1:16" ht="20.100000000000001" customHeight="1" x14ac:dyDescent="0.25">
      <c r="A135" s="337" t="s">
        <v>1169</v>
      </c>
      <c r="B135" s="30" t="s">
        <v>140</v>
      </c>
      <c r="C135" s="204" t="s">
        <v>346</v>
      </c>
      <c r="D135" s="207" t="s">
        <v>386</v>
      </c>
      <c r="E135" s="72">
        <v>7</v>
      </c>
      <c r="F135" s="346"/>
      <c r="G135" s="72"/>
      <c r="H135" s="72">
        <v>5</v>
      </c>
      <c r="I135" s="72">
        <v>1</v>
      </c>
      <c r="J135" s="72">
        <v>35</v>
      </c>
      <c r="K135" s="72">
        <v>26</v>
      </c>
      <c r="L135" s="72">
        <v>10</v>
      </c>
      <c r="M135" s="174">
        <v>45479</v>
      </c>
      <c r="N135" s="101" t="s">
        <v>74</v>
      </c>
      <c r="O135" s="220" t="s">
        <v>61</v>
      </c>
      <c r="P135" s="14" t="s">
        <v>34</v>
      </c>
    </row>
    <row r="136" spans="1:16" ht="20.100000000000001" customHeight="1" x14ac:dyDescent="0.25">
      <c r="A136" s="338" t="s">
        <v>1170</v>
      </c>
      <c r="B136" s="30" t="s">
        <v>140</v>
      </c>
      <c r="C136" s="204" t="s">
        <v>602</v>
      </c>
      <c r="D136" s="207" t="s">
        <v>606</v>
      </c>
      <c r="E136" s="206">
        <v>3</v>
      </c>
      <c r="F136" s="350" t="s">
        <v>1211</v>
      </c>
      <c r="G136" s="72"/>
      <c r="H136" s="72">
        <v>6</v>
      </c>
      <c r="I136" s="72"/>
      <c r="J136" s="72">
        <v>27</v>
      </c>
      <c r="K136" s="72">
        <v>10</v>
      </c>
      <c r="L136" s="72">
        <v>18</v>
      </c>
      <c r="M136" s="174">
        <v>44604</v>
      </c>
      <c r="N136" s="101" t="s">
        <v>922</v>
      </c>
      <c r="O136" s="220" t="s">
        <v>61</v>
      </c>
    </row>
    <row r="137" spans="1:16" ht="20.100000000000001" customHeight="1" x14ac:dyDescent="0.25">
      <c r="A137" s="338" t="s">
        <v>1171</v>
      </c>
      <c r="B137" s="30" t="s">
        <v>140</v>
      </c>
      <c r="C137" s="204" t="s">
        <v>358</v>
      </c>
      <c r="D137" s="207" t="s">
        <v>21</v>
      </c>
      <c r="E137" s="72"/>
      <c r="F137" s="346"/>
      <c r="G137" s="72"/>
      <c r="H137" s="72"/>
      <c r="I137" s="72"/>
      <c r="J137" s="72">
        <v>12</v>
      </c>
      <c r="K137" s="72">
        <v>1</v>
      </c>
      <c r="L137" s="72">
        <v>13</v>
      </c>
      <c r="M137" s="174">
        <v>45359</v>
      </c>
      <c r="N137" s="101" t="s">
        <v>76</v>
      </c>
      <c r="O137" s="220" t="s">
        <v>59</v>
      </c>
    </row>
    <row r="138" spans="1:16" ht="20.100000000000001" customHeight="1" thickBot="1" x14ac:dyDescent="0.3">
      <c r="A138" s="338" t="s">
        <v>1172</v>
      </c>
      <c r="B138" s="30" t="s">
        <v>140</v>
      </c>
      <c r="C138" s="204" t="s">
        <v>506</v>
      </c>
      <c r="D138" s="207" t="s">
        <v>953</v>
      </c>
      <c r="E138" s="72"/>
      <c r="F138" s="346"/>
      <c r="G138" s="72"/>
      <c r="H138" s="72"/>
      <c r="I138" s="72"/>
      <c r="J138" s="72">
        <v>10</v>
      </c>
      <c r="K138" s="72">
        <v>1</v>
      </c>
      <c r="L138" s="72">
        <v>11</v>
      </c>
      <c r="M138" s="174">
        <v>44975</v>
      </c>
      <c r="N138" s="101" t="s">
        <v>71</v>
      </c>
      <c r="O138" s="220" t="s">
        <v>60</v>
      </c>
    </row>
    <row r="139" spans="1:16" ht="20.100000000000001" customHeight="1" x14ac:dyDescent="0.25">
      <c r="A139" s="337" t="s">
        <v>1173</v>
      </c>
      <c r="B139" s="30" t="s">
        <v>140</v>
      </c>
      <c r="C139" s="204" t="s">
        <v>615</v>
      </c>
      <c r="D139" s="207" t="s">
        <v>616</v>
      </c>
      <c r="E139" s="72"/>
      <c r="F139" s="346"/>
      <c r="G139" s="72"/>
      <c r="H139" s="72"/>
      <c r="I139" s="72"/>
      <c r="J139" s="72">
        <v>1</v>
      </c>
      <c r="K139" s="72">
        <v>0</v>
      </c>
      <c r="L139" s="72">
        <v>3</v>
      </c>
      <c r="M139" s="174">
        <v>44849</v>
      </c>
      <c r="N139" s="101" t="s">
        <v>83</v>
      </c>
      <c r="O139" s="220" t="s">
        <v>66</v>
      </c>
    </row>
    <row r="140" spans="1:16" ht="20.100000000000001" customHeight="1" x14ac:dyDescent="0.25">
      <c r="A140" s="338" t="s">
        <v>1174</v>
      </c>
      <c r="B140" s="30" t="s">
        <v>140</v>
      </c>
      <c r="C140" s="204" t="s">
        <v>954</v>
      </c>
      <c r="D140" s="207" t="s">
        <v>955</v>
      </c>
      <c r="E140" s="151">
        <v>3</v>
      </c>
      <c r="F140" s="352"/>
      <c r="G140" s="115"/>
      <c r="H140" s="115">
        <v>2</v>
      </c>
      <c r="I140" s="115"/>
      <c r="J140" s="72">
        <v>36</v>
      </c>
      <c r="K140" s="127">
        <v>30</v>
      </c>
      <c r="L140" s="72">
        <v>8</v>
      </c>
      <c r="M140" s="174">
        <v>43307</v>
      </c>
      <c r="N140" s="101" t="s">
        <v>956</v>
      </c>
      <c r="O140" s="220" t="s">
        <v>84</v>
      </c>
    </row>
    <row r="141" spans="1:16" ht="20.100000000000001" customHeight="1" x14ac:dyDescent="0.25">
      <c r="A141" s="338" t="s">
        <v>1175</v>
      </c>
      <c r="B141" s="30" t="s">
        <v>140</v>
      </c>
      <c r="C141" s="204" t="s">
        <v>359</v>
      </c>
      <c r="D141" s="207" t="s">
        <v>20</v>
      </c>
      <c r="E141" s="72">
        <v>1</v>
      </c>
      <c r="F141" s="346"/>
      <c r="G141" s="72"/>
      <c r="H141" s="72"/>
      <c r="I141" s="72"/>
      <c r="J141" s="72">
        <v>8</v>
      </c>
      <c r="K141" s="72">
        <v>1</v>
      </c>
      <c r="L141" s="72">
        <v>9</v>
      </c>
      <c r="M141" s="174">
        <v>45340</v>
      </c>
      <c r="N141" s="101" t="s">
        <v>88</v>
      </c>
      <c r="O141" s="220" t="s">
        <v>85</v>
      </c>
    </row>
    <row r="142" spans="1:16" ht="20.100000000000001" customHeight="1" thickBot="1" x14ac:dyDescent="0.3">
      <c r="A142" s="338" t="s">
        <v>1176</v>
      </c>
      <c r="B142" s="30" t="s">
        <v>140</v>
      </c>
      <c r="C142" s="204" t="s">
        <v>351</v>
      </c>
      <c r="D142" s="207" t="s">
        <v>5</v>
      </c>
      <c r="E142" s="72">
        <v>5</v>
      </c>
      <c r="F142" s="346"/>
      <c r="G142" s="72">
        <v>1</v>
      </c>
      <c r="H142" s="72">
        <v>23</v>
      </c>
      <c r="I142" s="72">
        <v>1</v>
      </c>
      <c r="J142" s="72">
        <v>49</v>
      </c>
      <c r="K142" s="72">
        <v>30</v>
      </c>
      <c r="L142" s="72">
        <v>22</v>
      </c>
      <c r="M142" s="174">
        <v>45186</v>
      </c>
      <c r="N142" s="101" t="s">
        <v>931</v>
      </c>
      <c r="O142" s="220" t="s">
        <v>66</v>
      </c>
    </row>
    <row r="143" spans="1:16" ht="20.100000000000001" customHeight="1" x14ac:dyDescent="0.25">
      <c r="A143" s="337" t="s">
        <v>1177</v>
      </c>
      <c r="B143" s="30" t="s">
        <v>140</v>
      </c>
      <c r="C143" s="204" t="s">
        <v>691</v>
      </c>
      <c r="D143" s="207" t="s">
        <v>674</v>
      </c>
      <c r="E143" s="72">
        <v>4</v>
      </c>
      <c r="F143" s="346"/>
      <c r="G143" s="72"/>
      <c r="H143" s="72">
        <v>5</v>
      </c>
      <c r="I143" s="72">
        <v>2</v>
      </c>
      <c r="J143" s="72">
        <v>31</v>
      </c>
      <c r="K143" s="72">
        <v>18</v>
      </c>
      <c r="L143" s="72">
        <v>14</v>
      </c>
      <c r="M143" s="213">
        <v>43673</v>
      </c>
      <c r="N143" s="214" t="s">
        <v>922</v>
      </c>
      <c r="O143" s="220" t="s">
        <v>53</v>
      </c>
    </row>
    <row r="144" spans="1:16" ht="20.100000000000001" customHeight="1" x14ac:dyDescent="0.25">
      <c r="A144" s="338" t="s">
        <v>1178</v>
      </c>
      <c r="B144" s="30" t="s">
        <v>140</v>
      </c>
      <c r="C144" s="323" t="s">
        <v>1009</v>
      </c>
      <c r="D144" s="268" t="s">
        <v>598</v>
      </c>
      <c r="E144" s="51"/>
      <c r="F144" s="353"/>
      <c r="G144" s="72"/>
      <c r="H144" s="117"/>
      <c r="I144" s="117"/>
      <c r="J144" s="72">
        <v>0</v>
      </c>
      <c r="K144" s="117">
        <v>0</v>
      </c>
      <c r="L144" s="117">
        <v>4</v>
      </c>
      <c r="M144" s="224" t="s">
        <v>568</v>
      </c>
      <c r="N144" s="216" t="s">
        <v>568</v>
      </c>
      <c r="O144" s="216" t="s">
        <v>568</v>
      </c>
    </row>
    <row r="145" spans="1:15" ht="20.100000000000001" customHeight="1" x14ac:dyDescent="0.25">
      <c r="A145" s="338" t="s">
        <v>1179</v>
      </c>
      <c r="B145" s="30" t="s">
        <v>140</v>
      </c>
      <c r="C145" s="204" t="s">
        <v>497</v>
      </c>
      <c r="D145" s="207" t="s">
        <v>528</v>
      </c>
      <c r="E145" s="51"/>
      <c r="F145" s="353"/>
      <c r="G145" s="72"/>
      <c r="H145" s="117"/>
      <c r="I145" s="117"/>
      <c r="J145" s="72">
        <v>15</v>
      </c>
      <c r="K145" s="117">
        <v>10</v>
      </c>
      <c r="L145" s="117">
        <v>6</v>
      </c>
      <c r="M145" s="174">
        <v>44961</v>
      </c>
      <c r="N145" s="101" t="s">
        <v>58</v>
      </c>
      <c r="O145" s="220" t="s">
        <v>56</v>
      </c>
    </row>
    <row r="146" spans="1:15" ht="20.100000000000001" customHeight="1" thickBot="1" x14ac:dyDescent="0.3">
      <c r="A146" s="338" t="s">
        <v>1180</v>
      </c>
      <c r="B146" s="30" t="s">
        <v>140</v>
      </c>
      <c r="C146" s="204" t="s">
        <v>589</v>
      </c>
      <c r="D146" s="207" t="s">
        <v>614</v>
      </c>
      <c r="E146" s="51">
        <v>2</v>
      </c>
      <c r="F146" s="353"/>
      <c r="G146" s="72"/>
      <c r="H146" s="117"/>
      <c r="I146" s="117"/>
      <c r="J146" s="72">
        <v>12</v>
      </c>
      <c r="K146" s="117">
        <v>11</v>
      </c>
      <c r="L146" s="117">
        <v>4</v>
      </c>
      <c r="M146" s="174">
        <v>44759</v>
      </c>
      <c r="N146" s="101" t="s">
        <v>82</v>
      </c>
      <c r="O146" s="220" t="s">
        <v>59</v>
      </c>
    </row>
    <row r="147" spans="1:15" ht="20.100000000000001" customHeight="1" x14ac:dyDescent="0.25">
      <c r="A147" s="337" t="s">
        <v>1181</v>
      </c>
      <c r="B147" s="30" t="s">
        <v>140</v>
      </c>
      <c r="C147" s="204" t="s">
        <v>491</v>
      </c>
      <c r="D147" s="207" t="s">
        <v>957</v>
      </c>
      <c r="E147" s="208">
        <v>7</v>
      </c>
      <c r="F147" s="356" t="s">
        <v>1212</v>
      </c>
      <c r="G147" s="72"/>
      <c r="H147" s="117">
        <v>8</v>
      </c>
      <c r="I147" s="117"/>
      <c r="J147" s="72">
        <v>40</v>
      </c>
      <c r="K147" s="117">
        <v>34</v>
      </c>
      <c r="L147" s="117">
        <v>7</v>
      </c>
      <c r="M147" s="174">
        <v>44626</v>
      </c>
      <c r="N147" s="101" t="s">
        <v>70</v>
      </c>
      <c r="O147" s="220" t="s">
        <v>68</v>
      </c>
    </row>
    <row r="148" spans="1:15" ht="20.100000000000001" customHeight="1" x14ac:dyDescent="0.25">
      <c r="A148" s="338" t="s">
        <v>1182</v>
      </c>
      <c r="B148" s="30" t="s">
        <v>140</v>
      </c>
      <c r="C148" s="204" t="s">
        <v>525</v>
      </c>
      <c r="D148" s="207" t="s">
        <v>526</v>
      </c>
      <c r="E148" s="51"/>
      <c r="F148" s="353"/>
      <c r="G148" s="72"/>
      <c r="H148" s="117"/>
      <c r="I148" s="117"/>
      <c r="J148" s="72">
        <v>0</v>
      </c>
      <c r="K148" s="117">
        <v>0</v>
      </c>
      <c r="L148" s="117">
        <v>2</v>
      </c>
      <c r="M148" s="224" t="s">
        <v>568</v>
      </c>
      <c r="N148" s="216" t="s">
        <v>568</v>
      </c>
      <c r="O148" s="216" t="s">
        <v>568</v>
      </c>
    </row>
    <row r="149" spans="1:15" ht="20.100000000000001" customHeight="1" x14ac:dyDescent="0.25">
      <c r="A149" s="338" t="s">
        <v>1183</v>
      </c>
      <c r="B149" s="30" t="s">
        <v>140</v>
      </c>
      <c r="C149" s="203" t="s">
        <v>398</v>
      </c>
      <c r="D149" s="207" t="s">
        <v>530</v>
      </c>
      <c r="E149" s="51">
        <v>4</v>
      </c>
      <c r="F149" s="353"/>
      <c r="G149" s="72"/>
      <c r="H149" s="117">
        <v>2</v>
      </c>
      <c r="I149" s="117"/>
      <c r="J149" s="72">
        <v>23</v>
      </c>
      <c r="K149" s="117">
        <v>11</v>
      </c>
      <c r="L149" s="117">
        <v>16</v>
      </c>
      <c r="M149" s="174">
        <v>45725</v>
      </c>
      <c r="N149" s="101" t="s">
        <v>809</v>
      </c>
      <c r="O149" s="220" t="s">
        <v>59</v>
      </c>
    </row>
    <row r="150" spans="1:15" ht="20.100000000000001" customHeight="1" thickBot="1" x14ac:dyDescent="0.3">
      <c r="A150" s="338" t="s">
        <v>1184</v>
      </c>
      <c r="B150" s="30" t="s">
        <v>140</v>
      </c>
      <c r="C150" s="204" t="s">
        <v>678</v>
      </c>
      <c r="D150" s="207" t="s">
        <v>679</v>
      </c>
      <c r="E150" s="51">
        <v>4</v>
      </c>
      <c r="F150" s="353"/>
      <c r="G150" s="72"/>
      <c r="H150" s="117">
        <v>1</v>
      </c>
      <c r="I150" s="117"/>
      <c r="J150" s="72">
        <v>51</v>
      </c>
      <c r="K150" s="117">
        <v>22</v>
      </c>
      <c r="L150" s="117">
        <v>50</v>
      </c>
      <c r="M150" s="174">
        <v>43159</v>
      </c>
      <c r="N150" s="101" t="s">
        <v>72</v>
      </c>
      <c r="O150" s="220" t="s">
        <v>61</v>
      </c>
    </row>
    <row r="151" spans="1:15" ht="20.100000000000001" customHeight="1" x14ac:dyDescent="0.25">
      <c r="A151" s="337" t="s">
        <v>1185</v>
      </c>
      <c r="B151" s="30" t="s">
        <v>140</v>
      </c>
      <c r="C151" s="204" t="s">
        <v>498</v>
      </c>
      <c r="D151" s="207" t="s">
        <v>499</v>
      </c>
      <c r="E151" s="151">
        <v>2</v>
      </c>
      <c r="F151" s="352"/>
      <c r="G151" s="115"/>
      <c r="H151" s="72">
        <v>3</v>
      </c>
      <c r="I151" s="151"/>
      <c r="J151" s="72">
        <v>20</v>
      </c>
      <c r="K151" s="72">
        <v>15</v>
      </c>
      <c r="L151" s="72">
        <v>5</v>
      </c>
      <c r="M151" s="174">
        <v>44955</v>
      </c>
      <c r="N151" s="101" t="s">
        <v>57</v>
      </c>
      <c r="O151" s="220" t="s">
        <v>53</v>
      </c>
    </row>
    <row r="152" spans="1:15" ht="20.100000000000001" customHeight="1" x14ac:dyDescent="0.25">
      <c r="A152" s="338" t="s">
        <v>1186</v>
      </c>
      <c r="B152" s="30" t="s">
        <v>140</v>
      </c>
      <c r="C152" s="204" t="s">
        <v>590</v>
      </c>
      <c r="D152" s="207" t="s">
        <v>607</v>
      </c>
      <c r="E152" s="151"/>
      <c r="F152" s="352"/>
      <c r="G152" s="115"/>
      <c r="H152" s="72"/>
      <c r="I152" s="151"/>
      <c r="J152" s="72">
        <v>5</v>
      </c>
      <c r="K152" s="72">
        <v>1</v>
      </c>
      <c r="L152" s="72">
        <v>4</v>
      </c>
      <c r="M152" s="174">
        <v>44647</v>
      </c>
      <c r="N152" s="101" t="s">
        <v>73</v>
      </c>
      <c r="O152" s="220" t="s">
        <v>65</v>
      </c>
    </row>
    <row r="153" spans="1:15" ht="20.100000000000001" customHeight="1" x14ac:dyDescent="0.25">
      <c r="A153" s="338" t="s">
        <v>1187</v>
      </c>
      <c r="B153" s="30" t="s">
        <v>140</v>
      </c>
      <c r="C153" s="204" t="s">
        <v>685</v>
      </c>
      <c r="D153" s="207" t="s">
        <v>511</v>
      </c>
      <c r="E153" s="151"/>
      <c r="F153" s="352"/>
      <c r="G153" s="115"/>
      <c r="H153" s="72"/>
      <c r="I153" s="151"/>
      <c r="J153" s="72">
        <v>1</v>
      </c>
      <c r="K153" s="72">
        <v>0</v>
      </c>
      <c r="L153" s="72">
        <v>2</v>
      </c>
      <c r="M153" s="174">
        <v>44337</v>
      </c>
      <c r="N153" s="101" t="s">
        <v>73</v>
      </c>
      <c r="O153" s="220" t="s">
        <v>66</v>
      </c>
    </row>
    <row r="154" spans="1:15" ht="20.100000000000001" customHeight="1" thickBot="1" x14ac:dyDescent="0.3">
      <c r="A154" s="338" t="s">
        <v>1188</v>
      </c>
      <c r="B154" s="30" t="s">
        <v>140</v>
      </c>
      <c r="C154" s="209" t="s">
        <v>360</v>
      </c>
      <c r="D154" s="210" t="s">
        <v>14</v>
      </c>
      <c r="E154" s="151"/>
      <c r="F154" s="352"/>
      <c r="G154" s="115"/>
      <c r="H154" s="181">
        <v>1</v>
      </c>
      <c r="I154" s="151"/>
      <c r="J154" s="72">
        <v>7</v>
      </c>
      <c r="K154" s="181">
        <v>1</v>
      </c>
      <c r="L154" s="181">
        <v>8</v>
      </c>
      <c r="M154" s="174">
        <v>45326</v>
      </c>
      <c r="N154" s="101" t="s">
        <v>74</v>
      </c>
      <c r="O154" s="220" t="s">
        <v>84</v>
      </c>
    </row>
    <row r="155" spans="1:15" ht="20.100000000000001" customHeight="1" thickBot="1" x14ac:dyDescent="0.3">
      <c r="A155" s="337" t="s">
        <v>1189</v>
      </c>
      <c r="B155" s="31" t="s">
        <v>140</v>
      </c>
      <c r="C155" s="205" t="s">
        <v>361</v>
      </c>
      <c r="D155" s="211" t="s">
        <v>13</v>
      </c>
      <c r="E155" s="212">
        <v>5</v>
      </c>
      <c r="F155" s="350" t="s">
        <v>1213</v>
      </c>
      <c r="G155" s="123"/>
      <c r="H155" s="73">
        <v>7</v>
      </c>
      <c r="I155" s="212"/>
      <c r="J155" s="73">
        <v>53</v>
      </c>
      <c r="K155" s="73">
        <v>34</v>
      </c>
      <c r="L155" s="73">
        <v>20</v>
      </c>
      <c r="M155" s="217">
        <v>45010</v>
      </c>
      <c r="N155" s="122" t="s">
        <v>76</v>
      </c>
      <c r="O155" s="221" t="s">
        <v>64</v>
      </c>
    </row>
  </sheetData>
  <sortState xmlns:xlrd2="http://schemas.microsoft.com/office/spreadsheetml/2017/richdata2" ref="B3:L116">
    <sortCondition ref="B3:B116"/>
    <sortCondition ref="C3:C116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"/>
  <sheetViews>
    <sheetView zoomScaleNormal="100" workbookViewId="0">
      <selection activeCell="E4" sqref="E4"/>
    </sheetView>
  </sheetViews>
  <sheetFormatPr baseColWidth="10" defaultRowHeight="15" x14ac:dyDescent="0.25"/>
  <cols>
    <col min="1" max="1" width="20.140625" customWidth="1"/>
    <col min="2" max="25" width="11.42578125" customWidth="1"/>
    <col min="26" max="26" width="13.42578125" customWidth="1"/>
  </cols>
  <sheetData>
    <row r="1" spans="1:26" ht="45.75" customHeight="1" thickTop="1" thickBot="1" x14ac:dyDescent="0.3">
      <c r="A1" s="364" t="s">
        <v>36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6"/>
    </row>
    <row r="2" spans="1:26" ht="28.5" customHeight="1" thickTop="1" thickBot="1" x14ac:dyDescent="0.3">
      <c r="A2" s="169" t="s">
        <v>376</v>
      </c>
      <c r="B2" s="363">
        <v>2025</v>
      </c>
      <c r="C2" s="363"/>
      <c r="D2" s="363"/>
      <c r="E2" s="363">
        <v>2024</v>
      </c>
      <c r="F2" s="363"/>
      <c r="G2" s="363"/>
      <c r="H2" s="363">
        <v>2023</v>
      </c>
      <c r="I2" s="363"/>
      <c r="J2" s="363"/>
      <c r="K2" s="363">
        <v>2022</v>
      </c>
      <c r="L2" s="363"/>
      <c r="M2" s="363"/>
      <c r="N2" s="363">
        <v>2021</v>
      </c>
      <c r="O2" s="363"/>
      <c r="P2" s="363"/>
      <c r="Q2" s="363" t="s">
        <v>796</v>
      </c>
      <c r="R2" s="363"/>
      <c r="S2" s="363"/>
      <c r="T2" s="363" t="s">
        <v>797</v>
      </c>
      <c r="U2" s="363"/>
      <c r="V2" s="363"/>
      <c r="W2" s="363" t="s">
        <v>845</v>
      </c>
      <c r="X2" s="363"/>
      <c r="Y2" s="363"/>
      <c r="Z2" s="367" t="s">
        <v>410</v>
      </c>
    </row>
    <row r="3" spans="1:26" ht="28.5" customHeight="1" thickTop="1" thickBot="1" x14ac:dyDescent="0.3">
      <c r="A3" s="71" t="s">
        <v>377</v>
      </c>
      <c r="B3" s="69" t="s">
        <v>365</v>
      </c>
      <c r="C3" s="43" t="s">
        <v>366</v>
      </c>
      <c r="D3" s="70" t="s">
        <v>367</v>
      </c>
      <c r="E3" s="69" t="s">
        <v>365</v>
      </c>
      <c r="F3" s="43" t="s">
        <v>366</v>
      </c>
      <c r="G3" s="70" t="s">
        <v>367</v>
      </c>
      <c r="H3" s="69" t="s">
        <v>365</v>
      </c>
      <c r="I3" s="43" t="s">
        <v>366</v>
      </c>
      <c r="J3" s="70" t="s">
        <v>367</v>
      </c>
      <c r="K3" s="69" t="s">
        <v>365</v>
      </c>
      <c r="L3" s="43" t="s">
        <v>366</v>
      </c>
      <c r="M3" s="70" t="s">
        <v>367</v>
      </c>
      <c r="N3" s="69" t="s">
        <v>365</v>
      </c>
      <c r="O3" s="43" t="s">
        <v>366</v>
      </c>
      <c r="P3" s="70" t="s">
        <v>367</v>
      </c>
      <c r="Q3" s="69" t="s">
        <v>365</v>
      </c>
      <c r="R3" s="43" t="s">
        <v>366</v>
      </c>
      <c r="S3" s="70" t="s">
        <v>367</v>
      </c>
      <c r="T3" s="69" t="s">
        <v>365</v>
      </c>
      <c r="U3" s="43" t="s">
        <v>366</v>
      </c>
      <c r="V3" s="70" t="s">
        <v>367</v>
      </c>
      <c r="W3" s="69" t="s">
        <v>365</v>
      </c>
      <c r="X3" s="43" t="s">
        <v>366</v>
      </c>
      <c r="Y3" s="70" t="s">
        <v>367</v>
      </c>
      <c r="Z3" s="368"/>
    </row>
    <row r="4" spans="1:26" ht="28.5" customHeight="1" thickTop="1" thickBot="1" x14ac:dyDescent="0.3">
      <c r="A4" s="61" t="s">
        <v>368</v>
      </c>
      <c r="B4" s="62">
        <v>14</v>
      </c>
      <c r="C4" s="48">
        <v>14</v>
      </c>
      <c r="D4" s="63">
        <f>SUM(B4:C4)</f>
        <v>28</v>
      </c>
      <c r="E4" s="62">
        <v>24</v>
      </c>
      <c r="F4" s="48">
        <v>24</v>
      </c>
      <c r="G4" s="63">
        <f>SUM(E4:F4)</f>
        <v>48</v>
      </c>
      <c r="H4" s="62">
        <v>18</v>
      </c>
      <c r="I4" s="48">
        <v>18</v>
      </c>
      <c r="J4" s="63">
        <f>SUM(H4:I4)</f>
        <v>36</v>
      </c>
      <c r="K4" s="62">
        <v>18</v>
      </c>
      <c r="L4" s="59">
        <v>18</v>
      </c>
      <c r="M4" s="63">
        <f>SUM(K4:L4)</f>
        <v>36</v>
      </c>
      <c r="N4" s="62">
        <v>18</v>
      </c>
      <c r="O4" s="14">
        <v>18</v>
      </c>
      <c r="P4" s="65">
        <f t="shared" ref="P4" si="0">SUM(N4:O4)</f>
        <v>36</v>
      </c>
      <c r="Q4" s="62">
        <v>3</v>
      </c>
      <c r="R4" s="14">
        <v>2</v>
      </c>
      <c r="S4" s="65">
        <f t="shared" ref="S4:S12" si="1">SUM(Q4:R4)</f>
        <v>5</v>
      </c>
      <c r="T4" s="164">
        <v>13</v>
      </c>
      <c r="U4" s="161">
        <v>13</v>
      </c>
      <c r="V4" s="65">
        <f t="shared" ref="V4:V12" si="2">SUM(T4:U4)</f>
        <v>26</v>
      </c>
      <c r="W4" s="164">
        <v>19</v>
      </c>
      <c r="X4" s="161">
        <v>19</v>
      </c>
      <c r="Y4" s="65">
        <f t="shared" ref="Y4:Y12" si="3">SUM(W4:X4)</f>
        <v>38</v>
      </c>
      <c r="Z4" s="68">
        <f t="shared" ref="Z4:Z12" si="4">SUM(D4+G4+J4+M4+P4+S4+V4+Y4)</f>
        <v>253</v>
      </c>
    </row>
    <row r="5" spans="1:26" ht="28.5" customHeight="1" thickBot="1" x14ac:dyDescent="0.3">
      <c r="A5" s="60" t="s">
        <v>369</v>
      </c>
      <c r="B5" s="64">
        <v>3</v>
      </c>
      <c r="C5" s="51">
        <v>2</v>
      </c>
      <c r="D5" s="65">
        <f t="shared" ref="D5:D12" si="5">SUM(B5:C5)</f>
        <v>5</v>
      </c>
      <c r="E5" s="64">
        <v>8</v>
      </c>
      <c r="F5" s="51">
        <v>5</v>
      </c>
      <c r="G5" s="65">
        <f t="shared" ref="G5:G12" si="6">SUM(E5:F5)</f>
        <v>13</v>
      </c>
      <c r="H5" s="64">
        <v>5</v>
      </c>
      <c r="I5" s="51">
        <v>2</v>
      </c>
      <c r="J5" s="65">
        <f t="shared" ref="J5:J12" si="7">SUM(H5:I5)</f>
        <v>7</v>
      </c>
      <c r="K5" s="64">
        <v>6</v>
      </c>
      <c r="L5" s="51">
        <v>2</v>
      </c>
      <c r="M5" s="65">
        <f t="shared" ref="M5:M12" si="8">SUM(K5:L5)</f>
        <v>8</v>
      </c>
      <c r="N5" s="104">
        <v>4</v>
      </c>
      <c r="O5" s="103">
        <v>4</v>
      </c>
      <c r="P5" s="65">
        <f t="shared" ref="P5:P12" si="9">SUM(N5:O5)</f>
        <v>8</v>
      </c>
      <c r="Q5" s="64">
        <v>0</v>
      </c>
      <c r="R5" s="51">
        <v>0</v>
      </c>
      <c r="S5" s="65">
        <f t="shared" si="1"/>
        <v>0</v>
      </c>
      <c r="T5" s="99">
        <v>5</v>
      </c>
      <c r="U5" s="101">
        <v>3</v>
      </c>
      <c r="V5" s="65">
        <f t="shared" si="2"/>
        <v>8</v>
      </c>
      <c r="W5" s="99">
        <v>6</v>
      </c>
      <c r="X5" s="101">
        <v>5</v>
      </c>
      <c r="Y5" s="65">
        <f t="shared" si="3"/>
        <v>11</v>
      </c>
      <c r="Z5" s="68">
        <f t="shared" si="4"/>
        <v>60</v>
      </c>
    </row>
    <row r="6" spans="1:26" ht="28.5" customHeight="1" thickBot="1" x14ac:dyDescent="0.3">
      <c r="A6" s="60" t="s">
        <v>370</v>
      </c>
      <c r="B6" s="64">
        <v>5</v>
      </c>
      <c r="C6" s="51">
        <v>3</v>
      </c>
      <c r="D6" s="65">
        <f t="shared" si="5"/>
        <v>8</v>
      </c>
      <c r="E6" s="64">
        <v>9</v>
      </c>
      <c r="F6" s="51">
        <v>10</v>
      </c>
      <c r="G6" s="65">
        <f t="shared" si="6"/>
        <v>19</v>
      </c>
      <c r="H6" s="64">
        <v>8</v>
      </c>
      <c r="I6" s="51">
        <v>2</v>
      </c>
      <c r="J6" s="65">
        <f t="shared" si="7"/>
        <v>10</v>
      </c>
      <c r="K6" s="64">
        <v>5</v>
      </c>
      <c r="L6" s="51">
        <v>2</v>
      </c>
      <c r="M6" s="65">
        <f t="shared" si="8"/>
        <v>7</v>
      </c>
      <c r="N6" s="64">
        <v>7</v>
      </c>
      <c r="O6" s="51">
        <v>4</v>
      </c>
      <c r="P6" s="65">
        <f t="shared" si="9"/>
        <v>11</v>
      </c>
      <c r="Q6" s="64">
        <v>2</v>
      </c>
      <c r="R6" s="51">
        <v>1</v>
      </c>
      <c r="S6" s="65">
        <f t="shared" si="1"/>
        <v>3</v>
      </c>
      <c r="T6" s="99">
        <v>5</v>
      </c>
      <c r="U6" s="101">
        <v>3</v>
      </c>
      <c r="V6" s="65">
        <f t="shared" si="2"/>
        <v>8</v>
      </c>
      <c r="W6" s="99">
        <v>4</v>
      </c>
      <c r="X6" s="101">
        <v>6</v>
      </c>
      <c r="Y6" s="65">
        <f t="shared" si="3"/>
        <v>10</v>
      </c>
      <c r="Z6" s="68">
        <f t="shared" si="4"/>
        <v>76</v>
      </c>
    </row>
    <row r="7" spans="1:26" ht="28.5" customHeight="1" thickBot="1" x14ac:dyDescent="0.3">
      <c r="A7" s="60" t="s">
        <v>371</v>
      </c>
      <c r="B7" s="64">
        <v>6</v>
      </c>
      <c r="C7" s="51">
        <v>9</v>
      </c>
      <c r="D7" s="65">
        <f t="shared" si="5"/>
        <v>15</v>
      </c>
      <c r="E7" s="64">
        <v>7</v>
      </c>
      <c r="F7" s="51">
        <v>9</v>
      </c>
      <c r="G7" s="65">
        <f t="shared" si="6"/>
        <v>16</v>
      </c>
      <c r="H7" s="64">
        <v>5</v>
      </c>
      <c r="I7" s="51">
        <v>14</v>
      </c>
      <c r="J7" s="65">
        <f t="shared" si="7"/>
        <v>19</v>
      </c>
      <c r="K7" s="64">
        <v>7</v>
      </c>
      <c r="L7" s="51">
        <v>14</v>
      </c>
      <c r="M7" s="65">
        <f t="shared" si="8"/>
        <v>21</v>
      </c>
      <c r="N7" s="64">
        <v>7</v>
      </c>
      <c r="O7" s="51">
        <v>10</v>
      </c>
      <c r="P7" s="65">
        <f t="shared" si="9"/>
        <v>17</v>
      </c>
      <c r="Q7" s="64">
        <v>1</v>
      </c>
      <c r="R7" s="51">
        <v>1</v>
      </c>
      <c r="S7" s="65">
        <f t="shared" si="1"/>
        <v>2</v>
      </c>
      <c r="T7" s="99">
        <v>3</v>
      </c>
      <c r="U7" s="101">
        <v>7</v>
      </c>
      <c r="V7" s="65">
        <f t="shared" si="2"/>
        <v>10</v>
      </c>
      <c r="W7" s="99">
        <v>9</v>
      </c>
      <c r="X7" s="101">
        <v>8</v>
      </c>
      <c r="Y7" s="65">
        <f t="shared" si="3"/>
        <v>17</v>
      </c>
      <c r="Z7" s="68">
        <f t="shared" si="4"/>
        <v>117</v>
      </c>
    </row>
    <row r="8" spans="1:26" ht="28.5" customHeight="1" thickBot="1" x14ac:dyDescent="0.3">
      <c r="A8" s="60" t="s">
        <v>372</v>
      </c>
      <c r="B8" s="64">
        <v>42</v>
      </c>
      <c r="C8" s="51">
        <v>42</v>
      </c>
      <c r="D8" s="65">
        <f t="shared" si="5"/>
        <v>84</v>
      </c>
      <c r="E8" s="64">
        <v>71</v>
      </c>
      <c r="F8" s="51">
        <v>76</v>
      </c>
      <c r="G8" s="65">
        <f t="shared" si="6"/>
        <v>147</v>
      </c>
      <c r="H8" s="64">
        <v>38</v>
      </c>
      <c r="I8" s="51">
        <v>39</v>
      </c>
      <c r="J8" s="65">
        <f t="shared" si="7"/>
        <v>77</v>
      </c>
      <c r="K8" s="64">
        <v>30</v>
      </c>
      <c r="L8" s="51">
        <v>54</v>
      </c>
      <c r="M8" s="65">
        <f t="shared" si="8"/>
        <v>84</v>
      </c>
      <c r="N8" s="99">
        <v>43</v>
      </c>
      <c r="O8" s="101">
        <v>51</v>
      </c>
      <c r="P8" s="65">
        <f t="shared" si="9"/>
        <v>94</v>
      </c>
      <c r="Q8" s="64">
        <v>7</v>
      </c>
      <c r="R8" s="51">
        <v>4</v>
      </c>
      <c r="S8" s="65">
        <f t="shared" si="1"/>
        <v>11</v>
      </c>
      <c r="T8" s="99">
        <v>31</v>
      </c>
      <c r="U8" s="101">
        <v>26</v>
      </c>
      <c r="V8" s="65">
        <f t="shared" si="2"/>
        <v>57</v>
      </c>
      <c r="W8" s="99">
        <v>36</v>
      </c>
      <c r="X8" s="101">
        <v>29</v>
      </c>
      <c r="Y8" s="65">
        <f t="shared" si="3"/>
        <v>65</v>
      </c>
      <c r="Z8" s="68">
        <f t="shared" si="4"/>
        <v>619</v>
      </c>
    </row>
    <row r="9" spans="1:26" ht="28.5" customHeight="1" thickBot="1" x14ac:dyDescent="0.3">
      <c r="A9" s="60" t="s">
        <v>222</v>
      </c>
      <c r="B9" s="64">
        <v>3</v>
      </c>
      <c r="C9" s="51">
        <v>1</v>
      </c>
      <c r="D9" s="65">
        <f t="shared" si="5"/>
        <v>4</v>
      </c>
      <c r="E9" s="64">
        <v>10</v>
      </c>
      <c r="F9" s="51">
        <v>6</v>
      </c>
      <c r="G9" s="65">
        <f t="shared" si="6"/>
        <v>16</v>
      </c>
      <c r="H9" s="64">
        <v>3</v>
      </c>
      <c r="I9" s="51">
        <v>6</v>
      </c>
      <c r="J9" s="65">
        <f t="shared" si="7"/>
        <v>9</v>
      </c>
      <c r="K9" s="64">
        <v>3</v>
      </c>
      <c r="L9" s="51">
        <v>4</v>
      </c>
      <c r="M9" s="65">
        <f t="shared" si="8"/>
        <v>7</v>
      </c>
      <c r="N9" s="99">
        <v>5</v>
      </c>
      <c r="O9" s="101">
        <v>5</v>
      </c>
      <c r="P9" s="65">
        <f t="shared" si="9"/>
        <v>10</v>
      </c>
      <c r="Q9" s="64">
        <v>0</v>
      </c>
      <c r="R9" s="51">
        <v>2</v>
      </c>
      <c r="S9" s="65">
        <f t="shared" si="1"/>
        <v>2</v>
      </c>
      <c r="T9" s="99">
        <v>4</v>
      </c>
      <c r="U9" s="101">
        <v>4</v>
      </c>
      <c r="V9" s="65">
        <f t="shared" si="2"/>
        <v>8</v>
      </c>
      <c r="W9" s="99">
        <v>8</v>
      </c>
      <c r="X9" s="101">
        <v>5</v>
      </c>
      <c r="Y9" s="65">
        <f t="shared" si="3"/>
        <v>13</v>
      </c>
      <c r="Z9" s="68">
        <f t="shared" si="4"/>
        <v>69</v>
      </c>
    </row>
    <row r="10" spans="1:26" ht="28.5" customHeight="1" thickBot="1" x14ac:dyDescent="0.3">
      <c r="A10" s="60" t="s">
        <v>223</v>
      </c>
      <c r="B10" s="64">
        <v>0</v>
      </c>
      <c r="C10" s="51">
        <v>3</v>
      </c>
      <c r="D10" s="65">
        <f t="shared" si="5"/>
        <v>3</v>
      </c>
      <c r="E10" s="64">
        <v>7</v>
      </c>
      <c r="F10" s="51">
        <v>2</v>
      </c>
      <c r="G10" s="65">
        <f t="shared" si="6"/>
        <v>9</v>
      </c>
      <c r="H10" s="64">
        <v>4</v>
      </c>
      <c r="I10" s="51">
        <v>0</v>
      </c>
      <c r="J10" s="65">
        <f t="shared" si="7"/>
        <v>4</v>
      </c>
      <c r="K10" s="64">
        <v>4</v>
      </c>
      <c r="L10" s="51">
        <v>0</v>
      </c>
      <c r="M10" s="65">
        <f t="shared" si="8"/>
        <v>4</v>
      </c>
      <c r="N10" s="99">
        <v>6</v>
      </c>
      <c r="O10" s="101">
        <v>1</v>
      </c>
      <c r="P10" s="65">
        <f t="shared" si="9"/>
        <v>7</v>
      </c>
      <c r="Q10" s="64">
        <v>1</v>
      </c>
      <c r="R10" s="51">
        <v>0</v>
      </c>
      <c r="S10" s="65">
        <f t="shared" si="1"/>
        <v>1</v>
      </c>
      <c r="T10" s="99">
        <v>2</v>
      </c>
      <c r="U10" s="101">
        <v>1</v>
      </c>
      <c r="V10" s="65">
        <f t="shared" si="2"/>
        <v>3</v>
      </c>
      <c r="W10" s="99">
        <v>10</v>
      </c>
      <c r="X10" s="101">
        <v>2</v>
      </c>
      <c r="Y10" s="65">
        <f t="shared" si="3"/>
        <v>12</v>
      </c>
      <c r="Z10" s="68">
        <f t="shared" si="4"/>
        <v>43</v>
      </c>
    </row>
    <row r="11" spans="1:26" ht="28.5" customHeight="1" thickBot="1" x14ac:dyDescent="0.3">
      <c r="A11" s="61" t="s">
        <v>224</v>
      </c>
      <c r="B11" s="64">
        <v>0</v>
      </c>
      <c r="C11" s="51">
        <v>1</v>
      </c>
      <c r="D11" s="65">
        <f t="shared" si="5"/>
        <v>1</v>
      </c>
      <c r="E11" s="64">
        <v>1</v>
      </c>
      <c r="F11" s="51">
        <v>0</v>
      </c>
      <c r="G11" s="65">
        <f t="shared" si="6"/>
        <v>1</v>
      </c>
      <c r="H11" s="64">
        <v>0</v>
      </c>
      <c r="I11" s="51">
        <v>1</v>
      </c>
      <c r="J11" s="65">
        <f t="shared" si="7"/>
        <v>1</v>
      </c>
      <c r="K11" s="64">
        <v>0</v>
      </c>
      <c r="L11" s="51">
        <v>2</v>
      </c>
      <c r="M11" s="65">
        <f t="shared" si="8"/>
        <v>2</v>
      </c>
      <c r="N11" s="99">
        <v>3</v>
      </c>
      <c r="O11" s="101">
        <v>1</v>
      </c>
      <c r="P11" s="65">
        <f t="shared" si="9"/>
        <v>4</v>
      </c>
      <c r="Q11" s="64">
        <v>0</v>
      </c>
      <c r="R11" s="51">
        <v>0</v>
      </c>
      <c r="S11" s="65">
        <f t="shared" si="1"/>
        <v>0</v>
      </c>
      <c r="T11" s="99">
        <v>3</v>
      </c>
      <c r="U11" s="101">
        <v>0</v>
      </c>
      <c r="V11" s="65">
        <f t="shared" si="2"/>
        <v>3</v>
      </c>
      <c r="W11" s="99">
        <v>4</v>
      </c>
      <c r="X11" s="101">
        <v>0</v>
      </c>
      <c r="Y11" s="65">
        <f t="shared" si="3"/>
        <v>4</v>
      </c>
      <c r="Z11" s="68">
        <f t="shared" si="4"/>
        <v>16</v>
      </c>
    </row>
    <row r="12" spans="1:26" ht="28.5" customHeight="1" thickBot="1" x14ac:dyDescent="0.3">
      <c r="A12" s="60" t="s">
        <v>225</v>
      </c>
      <c r="B12" s="66">
        <v>3</v>
      </c>
      <c r="C12" s="53">
        <v>3</v>
      </c>
      <c r="D12" s="67">
        <f t="shared" si="5"/>
        <v>6</v>
      </c>
      <c r="E12" s="66">
        <v>5</v>
      </c>
      <c r="F12" s="53">
        <v>3</v>
      </c>
      <c r="G12" s="67">
        <f t="shared" si="6"/>
        <v>8</v>
      </c>
      <c r="H12" s="66">
        <v>0</v>
      </c>
      <c r="I12" s="53">
        <v>3</v>
      </c>
      <c r="J12" s="67">
        <f t="shared" si="7"/>
        <v>3</v>
      </c>
      <c r="K12" s="66">
        <v>2</v>
      </c>
      <c r="L12" s="49">
        <v>5</v>
      </c>
      <c r="M12" s="67">
        <f t="shared" si="8"/>
        <v>7</v>
      </c>
      <c r="N12" s="100">
        <v>4</v>
      </c>
      <c r="O12" s="102">
        <v>4</v>
      </c>
      <c r="P12" s="67">
        <f t="shared" si="9"/>
        <v>8</v>
      </c>
      <c r="Q12" s="66">
        <v>0</v>
      </c>
      <c r="R12" s="49">
        <v>1</v>
      </c>
      <c r="S12" s="67">
        <f t="shared" si="1"/>
        <v>1</v>
      </c>
      <c r="T12" s="100">
        <v>1</v>
      </c>
      <c r="U12" s="102">
        <v>3</v>
      </c>
      <c r="V12" s="67">
        <f t="shared" si="2"/>
        <v>4</v>
      </c>
      <c r="W12" s="100">
        <v>6</v>
      </c>
      <c r="X12" s="102">
        <v>4</v>
      </c>
      <c r="Y12" s="67">
        <f t="shared" si="3"/>
        <v>10</v>
      </c>
      <c r="Z12" s="68">
        <f t="shared" si="4"/>
        <v>47</v>
      </c>
    </row>
  </sheetData>
  <mergeCells count="10">
    <mergeCell ref="B2:D2"/>
    <mergeCell ref="A1:Z1"/>
    <mergeCell ref="W2:Y2"/>
    <mergeCell ref="Z2:Z3"/>
    <mergeCell ref="T2:V2"/>
    <mergeCell ref="Q2:S2"/>
    <mergeCell ref="N2:P2"/>
    <mergeCell ref="K2:M2"/>
    <mergeCell ref="H2:J2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C745-0BE0-4577-BCCB-76FAE2EF9BC6}">
  <dimension ref="C3:D9"/>
  <sheetViews>
    <sheetView showGridLines="0" workbookViewId="0">
      <selection activeCell="D13" sqref="D13"/>
    </sheetView>
  </sheetViews>
  <sheetFormatPr baseColWidth="10" defaultRowHeight="15" x14ac:dyDescent="0.25"/>
  <cols>
    <col min="3" max="3" width="17.7109375" customWidth="1"/>
    <col min="4" max="4" width="20" customWidth="1"/>
  </cols>
  <sheetData>
    <row r="3" spans="3:4" x14ac:dyDescent="0.25">
      <c r="C3" s="9" t="s">
        <v>1215</v>
      </c>
      <c r="D3" s="357" t="s">
        <v>1216</v>
      </c>
    </row>
    <row r="4" spans="3:4" x14ac:dyDescent="0.25">
      <c r="C4" s="7" t="s">
        <v>1217</v>
      </c>
      <c r="D4" s="15" t="s">
        <v>1218</v>
      </c>
    </row>
    <row r="5" spans="3:4" x14ac:dyDescent="0.25">
      <c r="C5" s="7" t="s">
        <v>1219</v>
      </c>
      <c r="D5" s="15" t="s">
        <v>1220</v>
      </c>
    </row>
    <row r="6" spans="3:4" x14ac:dyDescent="0.25">
      <c r="C6" s="7" t="s">
        <v>1221</v>
      </c>
      <c r="D6" s="15" t="s">
        <v>1222</v>
      </c>
    </row>
    <row r="7" spans="3:4" x14ac:dyDescent="0.25">
      <c r="C7" s="7" t="s">
        <v>1223</v>
      </c>
      <c r="D7" s="15" t="s">
        <v>1224</v>
      </c>
    </row>
    <row r="8" spans="3:4" x14ac:dyDescent="0.25">
      <c r="C8" s="7" t="s">
        <v>1225</v>
      </c>
      <c r="D8" s="15" t="s">
        <v>1226</v>
      </c>
    </row>
    <row r="9" spans="3:4" x14ac:dyDescent="0.25">
      <c r="C9" s="358"/>
      <c r="D9" s="35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1"/>
  <sheetViews>
    <sheetView tabSelected="1" zoomScaleNormal="100" workbookViewId="0">
      <selection activeCell="F3" sqref="F3"/>
    </sheetView>
  </sheetViews>
  <sheetFormatPr baseColWidth="10" defaultRowHeight="15" x14ac:dyDescent="0.25"/>
  <cols>
    <col min="1" max="1" width="19.85546875" customWidth="1"/>
    <col min="5" max="5" width="2.7109375" customWidth="1"/>
    <col min="6" max="6" width="19.85546875" customWidth="1"/>
    <col min="9" max="9" width="11.42578125" customWidth="1"/>
    <col min="10" max="10" width="2.7109375" customWidth="1"/>
    <col min="11" max="11" width="19.85546875" customWidth="1"/>
    <col min="15" max="15" width="2.7109375" customWidth="1"/>
    <col min="16" max="16" width="11.42578125" customWidth="1"/>
    <col min="20" max="20" width="2.7109375" customWidth="1"/>
    <col min="21" max="21" width="19.85546875" customWidth="1"/>
  </cols>
  <sheetData>
    <row r="1" spans="1:24" ht="45.75" customHeight="1" thickBot="1" x14ac:dyDescent="0.3">
      <c r="A1" s="360" t="s">
        <v>36</v>
      </c>
      <c r="B1" s="361"/>
      <c r="C1" s="361"/>
      <c r="D1" s="361"/>
      <c r="E1" s="371"/>
      <c r="F1" s="361"/>
      <c r="G1" s="361"/>
      <c r="H1" s="361"/>
      <c r="I1" s="361"/>
      <c r="J1" s="371"/>
      <c r="K1" s="361"/>
      <c r="L1" s="361"/>
      <c r="M1" s="361"/>
      <c r="N1" s="361"/>
      <c r="O1" s="372"/>
      <c r="P1" s="130"/>
      <c r="Q1" s="130"/>
      <c r="R1" s="130"/>
      <c r="S1" s="130"/>
      <c r="T1" s="130"/>
      <c r="U1" s="130"/>
      <c r="V1" s="130"/>
      <c r="W1" s="130"/>
      <c r="X1" s="130"/>
    </row>
    <row r="2" spans="1:24" ht="28.5" customHeight="1" thickBot="1" x14ac:dyDescent="0.3">
      <c r="A2" s="50" t="s">
        <v>727</v>
      </c>
      <c r="B2" s="13" t="s">
        <v>45</v>
      </c>
      <c r="C2" s="13" t="s">
        <v>46</v>
      </c>
      <c r="D2" s="13" t="s">
        <v>47</v>
      </c>
      <c r="E2" s="369"/>
      <c r="F2" s="50" t="s">
        <v>531</v>
      </c>
      <c r="G2" s="13" t="s">
        <v>45</v>
      </c>
      <c r="H2" s="13" t="s">
        <v>46</v>
      </c>
      <c r="I2" s="13" t="s">
        <v>47</v>
      </c>
      <c r="J2" s="369"/>
      <c r="K2" s="50" t="s">
        <v>428</v>
      </c>
      <c r="L2" s="13" t="s">
        <v>45</v>
      </c>
      <c r="M2" s="13" t="s">
        <v>46</v>
      </c>
      <c r="N2" s="13" t="s">
        <v>47</v>
      </c>
      <c r="O2" s="247"/>
    </row>
    <row r="3" spans="1:24" ht="28.5" customHeight="1" x14ac:dyDescent="0.25">
      <c r="A3" s="45" t="s">
        <v>373</v>
      </c>
      <c r="B3" s="22">
        <v>35</v>
      </c>
      <c r="C3" s="48">
        <v>34</v>
      </c>
      <c r="D3" s="48">
        <f>SUM(B3:C3)</f>
        <v>69</v>
      </c>
      <c r="E3" s="369"/>
      <c r="F3" s="45" t="s">
        <v>373</v>
      </c>
      <c r="G3" s="22">
        <v>32</v>
      </c>
      <c r="H3" s="48">
        <v>33</v>
      </c>
      <c r="I3" s="48">
        <f>SUM(G3:H3)</f>
        <v>65</v>
      </c>
      <c r="J3" s="369"/>
      <c r="K3" s="45" t="s">
        <v>373</v>
      </c>
      <c r="L3" s="22">
        <v>4</v>
      </c>
      <c r="M3" s="48">
        <v>3</v>
      </c>
      <c r="N3" s="48">
        <f>SUM(L3:M3)</f>
        <v>7</v>
      </c>
      <c r="O3" s="247"/>
    </row>
    <row r="4" spans="1:24" ht="28.5" customHeight="1" x14ac:dyDescent="0.25">
      <c r="A4" s="46" t="s">
        <v>369</v>
      </c>
      <c r="B4" s="25">
        <v>11</v>
      </c>
      <c r="C4" s="48">
        <v>8</v>
      </c>
      <c r="D4" s="48">
        <f>SUM(B4:C4)</f>
        <v>19</v>
      </c>
      <c r="E4" s="369"/>
      <c r="F4" s="46" t="s">
        <v>369</v>
      </c>
      <c r="G4" s="25">
        <v>9</v>
      </c>
      <c r="H4" s="48">
        <v>5</v>
      </c>
      <c r="I4" s="48">
        <f>SUM(G4:H4)</f>
        <v>14</v>
      </c>
      <c r="J4" s="369"/>
      <c r="K4" s="46" t="s">
        <v>369</v>
      </c>
      <c r="L4" s="25">
        <v>1</v>
      </c>
      <c r="M4" s="48">
        <v>1</v>
      </c>
      <c r="N4" s="48">
        <f>SUM(L4:M4)</f>
        <v>2</v>
      </c>
      <c r="O4" s="247"/>
    </row>
    <row r="5" spans="1:24" ht="28.5" customHeight="1" x14ac:dyDescent="0.25">
      <c r="A5" s="46" t="s">
        <v>370</v>
      </c>
      <c r="B5" s="25">
        <v>11</v>
      </c>
      <c r="C5" s="48">
        <v>10</v>
      </c>
      <c r="D5" s="48">
        <f>SUM(B5:C5)</f>
        <v>21</v>
      </c>
      <c r="E5" s="369"/>
      <c r="F5" s="46" t="s">
        <v>370</v>
      </c>
      <c r="G5" s="25">
        <v>10</v>
      </c>
      <c r="H5" s="48">
        <v>6</v>
      </c>
      <c r="I5" s="48">
        <f>SUM(G5:H5)</f>
        <v>16</v>
      </c>
      <c r="J5" s="369"/>
      <c r="K5" s="46" t="s">
        <v>370</v>
      </c>
      <c r="L5" s="25">
        <v>2</v>
      </c>
      <c r="M5" s="48">
        <v>0</v>
      </c>
      <c r="N5" s="48">
        <f>SUM(L5:M5)</f>
        <v>2</v>
      </c>
      <c r="O5" s="247"/>
    </row>
    <row r="6" spans="1:24" ht="28.5" customHeight="1" thickBot="1" x14ac:dyDescent="0.3">
      <c r="A6" s="47" t="s">
        <v>371</v>
      </c>
      <c r="B6" s="23">
        <v>13</v>
      </c>
      <c r="C6" s="49">
        <v>16</v>
      </c>
      <c r="D6" s="23">
        <f>SUM(B6:C6)</f>
        <v>29</v>
      </c>
      <c r="E6" s="369"/>
      <c r="F6" s="47" t="s">
        <v>371</v>
      </c>
      <c r="G6" s="23">
        <v>13</v>
      </c>
      <c r="H6" s="49">
        <v>22</v>
      </c>
      <c r="I6" s="23">
        <f>SUM(G6:H6)</f>
        <v>35</v>
      </c>
      <c r="J6" s="369"/>
      <c r="K6" s="47" t="s">
        <v>371</v>
      </c>
      <c r="L6" s="23">
        <v>1</v>
      </c>
      <c r="M6" s="49">
        <v>2</v>
      </c>
      <c r="N6" s="23">
        <f>SUM(L6:M6)</f>
        <v>3</v>
      </c>
      <c r="O6" s="247"/>
    </row>
    <row r="7" spans="1:24" ht="28.5" customHeight="1" thickBot="1" x14ac:dyDescent="0.3">
      <c r="A7" s="43" t="s">
        <v>375</v>
      </c>
      <c r="B7" s="38">
        <f>((B4*3)+B5)*100/(B3*3)</f>
        <v>41.904761904761905</v>
      </c>
      <c r="C7" s="38">
        <f>((C4*3)+C5)*100/(C3*3)</f>
        <v>33.333333333333336</v>
      </c>
      <c r="D7" s="38">
        <f>((D4*3)+D5)*100/(D3*3)</f>
        <v>37.681159420289852</v>
      </c>
      <c r="E7" s="369"/>
      <c r="F7" s="43" t="s">
        <v>375</v>
      </c>
      <c r="G7" s="38">
        <f>((G4*3)+G5)*100/(G3*3)</f>
        <v>38.541666666666664</v>
      </c>
      <c r="H7" s="38">
        <f>((H4*3)+H5)*100/(H3*3)</f>
        <v>21.212121212121211</v>
      </c>
      <c r="I7" s="38">
        <f>((I4*3)+I5)*100/(I3*3)</f>
        <v>29.743589743589745</v>
      </c>
      <c r="J7" s="369"/>
      <c r="K7" s="43" t="s">
        <v>375</v>
      </c>
      <c r="L7" s="38">
        <f>((L4*3)+L5)*100/(L3*3)</f>
        <v>41.666666666666664</v>
      </c>
      <c r="M7" s="38">
        <f>((M4*3)+M5)*100/(M3*3)</f>
        <v>33.333333333333336</v>
      </c>
      <c r="N7" s="38">
        <f>((N4*3)+N5)*100/(N3*3)</f>
        <v>38.095238095238095</v>
      </c>
      <c r="O7" s="247"/>
    </row>
    <row r="8" spans="1:24" ht="15.75" thickBot="1" x14ac:dyDescent="0.3">
      <c r="A8" s="373"/>
      <c r="B8" s="374"/>
      <c r="C8" s="374"/>
      <c r="D8" s="374"/>
      <c r="E8" s="374"/>
      <c r="F8" s="374"/>
      <c r="G8" s="374"/>
      <c r="H8" s="374"/>
      <c r="I8" s="374"/>
      <c r="J8" s="374"/>
      <c r="K8" s="374"/>
      <c r="L8" s="374"/>
      <c r="M8" s="374"/>
      <c r="N8" s="374"/>
      <c r="O8" s="375"/>
    </row>
    <row r="9" spans="1:24" ht="28.5" customHeight="1" thickBot="1" x14ac:dyDescent="0.3">
      <c r="A9" s="50" t="s">
        <v>427</v>
      </c>
      <c r="B9" s="13" t="s">
        <v>45</v>
      </c>
      <c r="C9" s="13" t="s">
        <v>46</v>
      </c>
      <c r="D9" s="13" t="s">
        <v>47</v>
      </c>
      <c r="E9" s="369"/>
      <c r="F9" s="50" t="s">
        <v>374</v>
      </c>
      <c r="G9" s="13" t="s">
        <v>45</v>
      </c>
      <c r="H9" s="13" t="s">
        <v>46</v>
      </c>
      <c r="I9" s="13" t="s">
        <v>47</v>
      </c>
      <c r="J9" s="369"/>
      <c r="K9" s="50" t="s">
        <v>1010</v>
      </c>
      <c r="L9" s="13" t="s">
        <v>45</v>
      </c>
      <c r="M9" s="13" t="s">
        <v>46</v>
      </c>
      <c r="N9" s="13" t="s">
        <v>47</v>
      </c>
      <c r="O9" s="247"/>
    </row>
    <row r="10" spans="1:24" ht="28.5" customHeight="1" x14ac:dyDescent="0.25">
      <c r="A10" s="45" t="s">
        <v>373</v>
      </c>
      <c r="B10" s="22">
        <v>11</v>
      </c>
      <c r="C10" s="48">
        <v>10</v>
      </c>
      <c r="D10" s="48">
        <f>SUM(B10:C10)</f>
        <v>21</v>
      </c>
      <c r="E10" s="369"/>
      <c r="F10" s="45" t="s">
        <v>373</v>
      </c>
      <c r="G10" s="22">
        <v>42</v>
      </c>
      <c r="H10" s="48">
        <v>43</v>
      </c>
      <c r="I10" s="48">
        <f>SUM(G10:H10)</f>
        <v>85</v>
      </c>
      <c r="J10" s="369"/>
      <c r="K10" s="45" t="s">
        <v>373</v>
      </c>
      <c r="L10" s="22">
        <v>3</v>
      </c>
      <c r="M10" s="48">
        <v>2</v>
      </c>
      <c r="N10" s="48">
        <f>SUM(L10:M10)</f>
        <v>5</v>
      </c>
      <c r="O10" s="247"/>
    </row>
    <row r="11" spans="1:24" ht="28.5" customHeight="1" x14ac:dyDescent="0.25">
      <c r="A11" s="46" t="s">
        <v>369</v>
      </c>
      <c r="B11" s="25">
        <v>2</v>
      </c>
      <c r="C11" s="48">
        <v>1</v>
      </c>
      <c r="D11" s="48">
        <f>SUM(B11:C11)</f>
        <v>3</v>
      </c>
      <c r="E11" s="369"/>
      <c r="F11" s="46" t="s">
        <v>369</v>
      </c>
      <c r="G11" s="25">
        <v>14</v>
      </c>
      <c r="H11" s="48">
        <v>8</v>
      </c>
      <c r="I11" s="48">
        <f>SUM(G11:H11)</f>
        <v>22</v>
      </c>
      <c r="J11" s="369"/>
      <c r="K11" s="46" t="s">
        <v>369</v>
      </c>
      <c r="L11" s="25">
        <v>0</v>
      </c>
      <c r="M11" s="48">
        <v>0</v>
      </c>
      <c r="N11" s="48">
        <f>SUM(L11:M11)</f>
        <v>0</v>
      </c>
      <c r="O11" s="247"/>
    </row>
    <row r="12" spans="1:24" ht="28.5" customHeight="1" x14ac:dyDescent="0.25">
      <c r="A12" s="46" t="s">
        <v>370</v>
      </c>
      <c r="B12" s="25">
        <v>6</v>
      </c>
      <c r="C12" s="48">
        <v>1</v>
      </c>
      <c r="D12" s="48">
        <f>SUM(B12:C12)</f>
        <v>7</v>
      </c>
      <c r="E12" s="369"/>
      <c r="F12" s="46" t="s">
        <v>370</v>
      </c>
      <c r="G12" s="25">
        <v>14</v>
      </c>
      <c r="H12" s="48">
        <v>14</v>
      </c>
      <c r="I12" s="48">
        <f>SUM(G12:H12)</f>
        <v>28</v>
      </c>
      <c r="J12" s="369"/>
      <c r="K12" s="46" t="s">
        <v>370</v>
      </c>
      <c r="L12" s="25">
        <v>2</v>
      </c>
      <c r="M12" s="48">
        <v>0</v>
      </c>
      <c r="N12" s="48">
        <f>SUM(L12:M12)</f>
        <v>2</v>
      </c>
      <c r="O12" s="247"/>
    </row>
    <row r="13" spans="1:24" ht="28.5" customHeight="1" thickBot="1" x14ac:dyDescent="0.3">
      <c r="A13" s="47" t="s">
        <v>371</v>
      </c>
      <c r="B13" s="23">
        <v>3</v>
      </c>
      <c r="C13" s="49">
        <v>8</v>
      </c>
      <c r="D13" s="23">
        <f>SUM(B13:C13)</f>
        <v>11</v>
      </c>
      <c r="E13" s="369"/>
      <c r="F13" s="47" t="s">
        <v>371</v>
      </c>
      <c r="G13" s="23">
        <v>14</v>
      </c>
      <c r="H13" s="49">
        <v>21</v>
      </c>
      <c r="I13" s="23">
        <f>SUM(G13:H13)</f>
        <v>35</v>
      </c>
      <c r="J13" s="369"/>
      <c r="K13" s="47" t="s">
        <v>371</v>
      </c>
      <c r="L13" s="23">
        <v>1</v>
      </c>
      <c r="M13" s="49">
        <v>2</v>
      </c>
      <c r="N13" s="23">
        <f>SUM(L13:M13)</f>
        <v>3</v>
      </c>
      <c r="O13" s="247"/>
    </row>
    <row r="14" spans="1:24" ht="28.5" customHeight="1" thickBot="1" x14ac:dyDescent="0.3">
      <c r="A14" s="43" t="s">
        <v>375</v>
      </c>
      <c r="B14" s="38">
        <f>((B11*3)+B12)*100/(B10*3)</f>
        <v>36.363636363636367</v>
      </c>
      <c r="C14" s="38">
        <f>((C11*3)+C12)*100/(C10*3)</f>
        <v>13.333333333333334</v>
      </c>
      <c r="D14" s="38">
        <f>((D11*3)+D12)*100/(D10*3)</f>
        <v>25.396825396825395</v>
      </c>
      <c r="E14" s="370"/>
      <c r="F14" s="43" t="s">
        <v>375</v>
      </c>
      <c r="G14" s="38">
        <f>((G11*3)+G12)*100/(G10*3)</f>
        <v>44.444444444444443</v>
      </c>
      <c r="H14" s="38">
        <f>((H11*3)+H12)*100/(H10*3)</f>
        <v>29.45736434108527</v>
      </c>
      <c r="I14" s="38">
        <f>((I11*3)+I12)*100/(I10*3)</f>
        <v>36.862745098039213</v>
      </c>
      <c r="J14" s="370"/>
      <c r="K14" s="43" t="s">
        <v>375</v>
      </c>
      <c r="L14" s="38">
        <f>((L11*3)+L12)*100/(L10*3)</f>
        <v>22.222222222222221</v>
      </c>
      <c r="M14" s="38">
        <f>((M11*3)+M12)*100/(M10*3)</f>
        <v>0</v>
      </c>
      <c r="N14" s="38">
        <f>((N11*3)+N12)*100/(N10*3)</f>
        <v>13.333333333333334</v>
      </c>
      <c r="O14" s="259"/>
    </row>
    <row r="15" spans="1:24" ht="15" customHeight="1" x14ac:dyDescent="0.25"/>
    <row r="16" spans="1:24" ht="15" customHeight="1" x14ac:dyDescent="0.25">
      <c r="A16" s="324" t="s">
        <v>1011</v>
      </c>
      <c r="G16" s="14"/>
      <c r="H16" s="74"/>
      <c r="I16" s="14"/>
    </row>
    <row r="17" spans="6:9" ht="15" customHeight="1" x14ac:dyDescent="0.25">
      <c r="F17" s="74"/>
      <c r="G17" s="14"/>
      <c r="H17" s="14"/>
      <c r="I17" s="14"/>
    </row>
    <row r="18" spans="6:9" ht="15" customHeight="1" x14ac:dyDescent="0.25"/>
    <row r="19" spans="6:9" ht="15" customHeight="1" x14ac:dyDescent="0.25"/>
    <row r="20" spans="6:9" ht="15" customHeight="1" x14ac:dyDescent="0.25"/>
    <row r="21" spans="6:9" ht="15" customHeight="1" x14ac:dyDescent="0.25"/>
    <row r="22" spans="6:9" ht="15" customHeight="1" x14ac:dyDescent="0.25"/>
    <row r="23" spans="6:9" ht="15" customHeight="1" x14ac:dyDescent="0.25"/>
    <row r="24" spans="6:9" ht="15" customHeight="1" x14ac:dyDescent="0.25"/>
    <row r="25" spans="6:9" ht="15" customHeight="1" x14ac:dyDescent="0.25"/>
    <row r="26" spans="6:9" ht="15" customHeight="1" x14ac:dyDescent="0.25"/>
    <row r="27" spans="6:9" ht="15" customHeight="1" x14ac:dyDescent="0.25"/>
    <row r="28" spans="6:9" ht="15" customHeight="1" x14ac:dyDescent="0.25"/>
    <row r="29" spans="6:9" ht="15" customHeight="1" x14ac:dyDescent="0.25"/>
    <row r="30" spans="6:9" ht="15" customHeight="1" x14ac:dyDescent="0.25"/>
    <row r="31" spans="6:9" ht="15" customHeight="1" x14ac:dyDescent="0.25"/>
  </sheetData>
  <mergeCells count="6">
    <mergeCell ref="J2:J7"/>
    <mergeCell ref="E9:E14"/>
    <mergeCell ref="E2:E7"/>
    <mergeCell ref="A1:O1"/>
    <mergeCell ref="J9:J14"/>
    <mergeCell ref="A8:O8"/>
  </mergeCells>
  <pageMargins left="0.7" right="0.7" top="0.75" bottom="0.75" header="0.3" footer="0.3"/>
  <pageSetup orientation="portrait" r:id="rId1"/>
  <ignoredErrors>
    <ignoredError sqref="M14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47"/>
  <sheetViews>
    <sheetView showGridLines="0" zoomScaleNormal="100" workbookViewId="0">
      <selection activeCell="H4" sqref="H4"/>
    </sheetView>
  </sheetViews>
  <sheetFormatPr baseColWidth="10" defaultRowHeight="15" x14ac:dyDescent="0.25"/>
  <cols>
    <col min="1" max="2" width="5.28515625" customWidth="1"/>
    <col min="3" max="3" width="25.42578125" customWidth="1"/>
    <col min="4" max="4" width="14.7109375" customWidth="1"/>
    <col min="5" max="5" width="5.85546875" bestFit="1" customWidth="1"/>
    <col min="6" max="6" width="21.140625" style="1" customWidth="1"/>
    <col min="7" max="7" width="11.42578125" style="14"/>
    <col min="8" max="8" width="11.7109375" customWidth="1"/>
    <col min="10" max="10" width="25.5703125" customWidth="1"/>
    <col min="11" max="11" width="13.7109375" style="1" customWidth="1"/>
    <col min="12" max="12" width="10.28515625" customWidth="1"/>
  </cols>
  <sheetData>
    <row r="1" spans="2:12" ht="45.75" customHeight="1" thickBot="1" x14ac:dyDescent="0.3">
      <c r="B1" s="415"/>
      <c r="C1" s="412" t="s">
        <v>36</v>
      </c>
      <c r="D1" s="412"/>
      <c r="E1" s="412"/>
      <c r="F1" s="412"/>
      <c r="G1" s="412"/>
      <c r="H1" s="412"/>
      <c r="I1" s="412"/>
      <c r="J1" s="412"/>
      <c r="K1" s="412"/>
      <c r="L1" s="413"/>
    </row>
    <row r="2" spans="2:12" ht="31.5" customHeight="1" thickBot="1" x14ac:dyDescent="0.3">
      <c r="B2" s="414"/>
      <c r="C2" s="13" t="s">
        <v>302</v>
      </c>
      <c r="D2" s="13" t="s">
        <v>221</v>
      </c>
      <c r="E2" s="168" t="s">
        <v>1227</v>
      </c>
      <c r="F2" s="13" t="s">
        <v>301</v>
      </c>
      <c r="G2" s="13" t="s">
        <v>52</v>
      </c>
      <c r="H2" s="411" t="s">
        <v>1228</v>
      </c>
      <c r="I2" s="247"/>
      <c r="J2" s="13" t="s">
        <v>302</v>
      </c>
      <c r="K2" s="13" t="s">
        <v>303</v>
      </c>
      <c r="L2" s="247"/>
    </row>
    <row r="3" spans="2:12" ht="15.75" customHeight="1" x14ac:dyDescent="0.25">
      <c r="B3" s="414"/>
      <c r="C3" s="22" t="s">
        <v>959</v>
      </c>
      <c r="D3" s="25" t="s">
        <v>845</v>
      </c>
      <c r="E3" s="76" t="s">
        <v>91</v>
      </c>
      <c r="F3" s="25" t="s">
        <v>77</v>
      </c>
      <c r="G3" s="136" t="s">
        <v>847</v>
      </c>
      <c r="H3" s="191" t="s">
        <v>55</v>
      </c>
      <c r="I3" s="247"/>
      <c r="J3" s="48" t="s">
        <v>439</v>
      </c>
      <c r="K3" s="260">
        <v>13</v>
      </c>
      <c r="L3" s="247"/>
    </row>
    <row r="4" spans="2:12" ht="15.75" customHeight="1" x14ac:dyDescent="0.25">
      <c r="B4" s="414"/>
      <c r="C4" s="25" t="s">
        <v>885</v>
      </c>
      <c r="D4" s="25" t="s">
        <v>845</v>
      </c>
      <c r="E4" s="76" t="s">
        <v>91</v>
      </c>
      <c r="F4" s="25" t="s">
        <v>77</v>
      </c>
      <c r="G4" s="136" t="s">
        <v>64</v>
      </c>
      <c r="H4" s="191" t="s">
        <v>55</v>
      </c>
      <c r="I4" s="247"/>
      <c r="J4" s="48" t="s">
        <v>709</v>
      </c>
      <c r="K4" s="260">
        <v>13</v>
      </c>
      <c r="L4" s="247"/>
    </row>
    <row r="5" spans="2:12" ht="15.75" customHeight="1" x14ac:dyDescent="0.25">
      <c r="B5" s="414"/>
      <c r="C5" s="25" t="s">
        <v>886</v>
      </c>
      <c r="D5" s="25" t="s">
        <v>845</v>
      </c>
      <c r="E5" s="76" t="s">
        <v>92</v>
      </c>
      <c r="F5" s="25" t="s">
        <v>79</v>
      </c>
      <c r="G5" s="136" t="s">
        <v>64</v>
      </c>
      <c r="H5" s="191" t="s">
        <v>54</v>
      </c>
      <c r="I5" s="247"/>
      <c r="J5" s="48" t="s">
        <v>885</v>
      </c>
      <c r="K5" s="260">
        <v>12</v>
      </c>
      <c r="L5" s="247"/>
    </row>
    <row r="6" spans="2:12" ht="15.75" customHeight="1" x14ac:dyDescent="0.25">
      <c r="B6" s="414"/>
      <c r="C6" s="25" t="s">
        <v>885</v>
      </c>
      <c r="D6" s="25" t="s">
        <v>845</v>
      </c>
      <c r="E6" s="76" t="s">
        <v>92</v>
      </c>
      <c r="F6" s="25" t="s">
        <v>79</v>
      </c>
      <c r="G6" s="136" t="s">
        <v>64</v>
      </c>
      <c r="H6" s="191" t="s">
        <v>54</v>
      </c>
      <c r="I6" s="247"/>
      <c r="J6" s="258" t="s">
        <v>320</v>
      </c>
      <c r="K6" s="260">
        <v>10</v>
      </c>
      <c r="L6" s="247"/>
    </row>
    <row r="7" spans="2:12" ht="15.75" customHeight="1" x14ac:dyDescent="0.25">
      <c r="B7" s="414"/>
      <c r="C7" s="25" t="s">
        <v>885</v>
      </c>
      <c r="D7" s="25" t="s">
        <v>845</v>
      </c>
      <c r="E7" s="76" t="s">
        <v>93</v>
      </c>
      <c r="F7" s="25" t="s">
        <v>73</v>
      </c>
      <c r="G7" s="136" t="s">
        <v>623</v>
      </c>
      <c r="H7" s="191" t="s">
        <v>55</v>
      </c>
      <c r="I7" s="247"/>
      <c r="J7" s="258" t="s">
        <v>304</v>
      </c>
      <c r="K7" s="260">
        <v>9</v>
      </c>
      <c r="L7" s="247"/>
    </row>
    <row r="8" spans="2:12" ht="15.75" customHeight="1" x14ac:dyDescent="0.25">
      <c r="B8" s="414"/>
      <c r="C8" s="25" t="s">
        <v>885</v>
      </c>
      <c r="D8" s="25" t="s">
        <v>845</v>
      </c>
      <c r="E8" s="76" t="s">
        <v>93</v>
      </c>
      <c r="F8" s="25" t="s">
        <v>73</v>
      </c>
      <c r="G8" s="136" t="s">
        <v>623</v>
      </c>
      <c r="H8" s="191" t="s">
        <v>55</v>
      </c>
      <c r="I8" s="247"/>
      <c r="J8" s="48" t="s">
        <v>306</v>
      </c>
      <c r="K8" s="260">
        <v>7</v>
      </c>
      <c r="L8" s="247"/>
    </row>
    <row r="9" spans="2:12" ht="15.75" customHeight="1" x14ac:dyDescent="0.25">
      <c r="B9" s="414"/>
      <c r="C9" s="25" t="s">
        <v>885</v>
      </c>
      <c r="D9" s="25" t="s">
        <v>845</v>
      </c>
      <c r="E9" s="76" t="s">
        <v>93</v>
      </c>
      <c r="F9" s="25" t="s">
        <v>73</v>
      </c>
      <c r="G9" s="136" t="s">
        <v>623</v>
      </c>
      <c r="H9" s="191" t="s">
        <v>55</v>
      </c>
      <c r="I9" s="247"/>
      <c r="J9" s="48" t="s">
        <v>887</v>
      </c>
      <c r="K9" s="260">
        <v>7</v>
      </c>
      <c r="L9" s="247"/>
    </row>
    <row r="10" spans="2:12" ht="15.75" customHeight="1" x14ac:dyDescent="0.25">
      <c r="B10" s="414"/>
      <c r="C10" s="25" t="s">
        <v>885</v>
      </c>
      <c r="D10" s="25" t="s">
        <v>845</v>
      </c>
      <c r="E10" s="76" t="s">
        <v>94</v>
      </c>
      <c r="F10" s="25" t="s">
        <v>191</v>
      </c>
      <c r="G10" s="134" t="s">
        <v>66</v>
      </c>
      <c r="H10" s="191" t="s">
        <v>54</v>
      </c>
      <c r="I10" s="247"/>
      <c r="J10" s="48" t="s">
        <v>326</v>
      </c>
      <c r="K10" s="260">
        <v>7</v>
      </c>
      <c r="L10" s="247"/>
    </row>
    <row r="11" spans="2:12" ht="15.75" customHeight="1" x14ac:dyDescent="0.25">
      <c r="B11" s="414"/>
      <c r="C11" s="25" t="s">
        <v>738</v>
      </c>
      <c r="D11" s="25" t="s">
        <v>845</v>
      </c>
      <c r="E11" s="76" t="s">
        <v>95</v>
      </c>
      <c r="F11" s="25" t="s">
        <v>70</v>
      </c>
      <c r="G11" s="135" t="s">
        <v>65</v>
      </c>
      <c r="H11" s="191" t="s">
        <v>55</v>
      </c>
      <c r="I11" s="247"/>
      <c r="J11" s="48" t="s">
        <v>959</v>
      </c>
      <c r="K11" s="260">
        <v>6</v>
      </c>
      <c r="L11" s="247"/>
    </row>
    <row r="12" spans="2:12" ht="15.75" customHeight="1" x14ac:dyDescent="0.25">
      <c r="B12" s="414"/>
      <c r="C12" s="25" t="s">
        <v>886</v>
      </c>
      <c r="D12" s="25" t="s">
        <v>845</v>
      </c>
      <c r="E12" s="76" t="s">
        <v>95</v>
      </c>
      <c r="F12" s="25" t="s">
        <v>70</v>
      </c>
      <c r="G12" s="135" t="s">
        <v>65</v>
      </c>
      <c r="H12" s="191" t="s">
        <v>55</v>
      </c>
      <c r="I12" s="247"/>
      <c r="J12" s="258" t="s">
        <v>305</v>
      </c>
      <c r="K12" s="260">
        <v>6</v>
      </c>
      <c r="L12" s="247"/>
    </row>
    <row r="13" spans="2:12" ht="15.75" customHeight="1" x14ac:dyDescent="0.25">
      <c r="B13" s="414"/>
      <c r="C13" s="25" t="s">
        <v>885</v>
      </c>
      <c r="D13" s="25" t="s">
        <v>845</v>
      </c>
      <c r="E13" s="76" t="s">
        <v>100</v>
      </c>
      <c r="F13" s="25" t="s">
        <v>78</v>
      </c>
      <c r="G13" s="134" t="s">
        <v>86</v>
      </c>
      <c r="H13" s="191" t="s">
        <v>55</v>
      </c>
      <c r="I13" s="247"/>
      <c r="J13" s="48" t="s">
        <v>441</v>
      </c>
      <c r="K13" s="260">
        <v>6</v>
      </c>
      <c r="L13" s="247"/>
    </row>
    <row r="14" spans="2:12" ht="15.75" customHeight="1" x14ac:dyDescent="0.25">
      <c r="B14" s="414"/>
      <c r="C14" s="25" t="s">
        <v>885</v>
      </c>
      <c r="D14" s="25" t="s">
        <v>845</v>
      </c>
      <c r="E14" s="76" t="s">
        <v>100</v>
      </c>
      <c r="F14" s="25" t="s">
        <v>78</v>
      </c>
      <c r="G14" s="134" t="s">
        <v>86</v>
      </c>
      <c r="H14" s="191" t="s">
        <v>55</v>
      </c>
      <c r="I14" s="247"/>
      <c r="J14" s="119" t="s">
        <v>307</v>
      </c>
      <c r="K14" s="260">
        <v>6</v>
      </c>
      <c r="L14" s="247"/>
    </row>
    <row r="15" spans="2:12" ht="15.75" customHeight="1" x14ac:dyDescent="0.25">
      <c r="B15" s="414"/>
      <c r="C15" s="25" t="s">
        <v>886</v>
      </c>
      <c r="D15" s="25" t="s">
        <v>845</v>
      </c>
      <c r="E15" s="25" t="s">
        <v>97</v>
      </c>
      <c r="F15" s="25" t="s">
        <v>849</v>
      </c>
      <c r="G15" s="136" t="s">
        <v>850</v>
      </c>
      <c r="H15" s="191" t="s">
        <v>55</v>
      </c>
      <c r="I15" s="247"/>
      <c r="J15" s="48" t="s">
        <v>713</v>
      </c>
      <c r="K15" s="260">
        <v>5</v>
      </c>
      <c r="L15" s="247"/>
    </row>
    <row r="16" spans="2:12" ht="15.75" customHeight="1" x14ac:dyDescent="0.25">
      <c r="B16" s="414"/>
      <c r="C16" s="25" t="s">
        <v>886</v>
      </c>
      <c r="D16" s="25" t="s">
        <v>845</v>
      </c>
      <c r="E16" s="25" t="s">
        <v>97</v>
      </c>
      <c r="F16" s="25" t="s">
        <v>849</v>
      </c>
      <c r="G16" s="136" t="s">
        <v>850</v>
      </c>
      <c r="H16" s="191" t="s">
        <v>55</v>
      </c>
      <c r="I16" s="247"/>
      <c r="J16" s="48" t="s">
        <v>891</v>
      </c>
      <c r="K16" s="260">
        <v>5</v>
      </c>
      <c r="L16" s="247"/>
    </row>
    <row r="17" spans="2:12" ht="15.75" customHeight="1" x14ac:dyDescent="0.25">
      <c r="B17" s="414"/>
      <c r="C17" s="25" t="s">
        <v>716</v>
      </c>
      <c r="D17" s="25" t="s">
        <v>845</v>
      </c>
      <c r="E17" s="25" t="s">
        <v>97</v>
      </c>
      <c r="F17" s="25" t="s">
        <v>849</v>
      </c>
      <c r="G17" s="136" t="s">
        <v>850</v>
      </c>
      <c r="H17" s="191" t="s">
        <v>55</v>
      </c>
      <c r="I17" s="247"/>
      <c r="J17" s="48" t="s">
        <v>310</v>
      </c>
      <c r="K17" s="260">
        <v>5</v>
      </c>
      <c r="L17" s="247"/>
    </row>
    <row r="18" spans="2:12" ht="15.75" customHeight="1" x14ac:dyDescent="0.25">
      <c r="B18" s="414"/>
      <c r="C18" s="25" t="s">
        <v>959</v>
      </c>
      <c r="D18" s="25" t="s">
        <v>845</v>
      </c>
      <c r="E18" s="25" t="s">
        <v>97</v>
      </c>
      <c r="F18" s="25" t="s">
        <v>849</v>
      </c>
      <c r="G18" s="136" t="s">
        <v>850</v>
      </c>
      <c r="H18" s="191" t="s">
        <v>55</v>
      </c>
      <c r="I18" s="247"/>
      <c r="J18" s="48" t="s">
        <v>710</v>
      </c>
      <c r="K18" s="260">
        <v>5</v>
      </c>
      <c r="L18" s="247"/>
    </row>
    <row r="19" spans="2:12" ht="15.75" customHeight="1" x14ac:dyDescent="0.25">
      <c r="B19" s="414"/>
      <c r="C19" s="25" t="s">
        <v>885</v>
      </c>
      <c r="D19" s="25" t="s">
        <v>845</v>
      </c>
      <c r="E19" s="25" t="s">
        <v>97</v>
      </c>
      <c r="F19" s="25" t="s">
        <v>849</v>
      </c>
      <c r="G19" s="136" t="s">
        <v>850</v>
      </c>
      <c r="H19" s="191" t="s">
        <v>55</v>
      </c>
      <c r="I19" s="247"/>
      <c r="J19" s="48" t="s">
        <v>886</v>
      </c>
      <c r="K19" s="260">
        <v>5</v>
      </c>
      <c r="L19" s="247"/>
    </row>
    <row r="20" spans="2:12" ht="15.75" customHeight="1" x14ac:dyDescent="0.25">
      <c r="B20" s="414"/>
      <c r="C20" s="25" t="s">
        <v>887</v>
      </c>
      <c r="D20" s="25" t="s">
        <v>845</v>
      </c>
      <c r="E20" s="25" t="s">
        <v>134</v>
      </c>
      <c r="F20" s="25" t="s">
        <v>131</v>
      </c>
      <c r="G20" s="136" t="s">
        <v>848</v>
      </c>
      <c r="H20" s="191" t="s">
        <v>54</v>
      </c>
      <c r="I20" s="247"/>
      <c r="J20" s="266" t="s">
        <v>330</v>
      </c>
      <c r="K20" s="260">
        <v>5</v>
      </c>
      <c r="L20" s="247"/>
    </row>
    <row r="21" spans="2:12" ht="15.75" customHeight="1" x14ac:dyDescent="0.25">
      <c r="B21" s="414"/>
      <c r="C21" s="25" t="s">
        <v>887</v>
      </c>
      <c r="D21" s="25" t="s">
        <v>845</v>
      </c>
      <c r="E21" s="25" t="s">
        <v>134</v>
      </c>
      <c r="F21" s="25" t="s">
        <v>131</v>
      </c>
      <c r="G21" s="136" t="s">
        <v>848</v>
      </c>
      <c r="H21" s="191" t="s">
        <v>54</v>
      </c>
      <c r="I21" s="247"/>
      <c r="J21" s="258" t="s">
        <v>308</v>
      </c>
      <c r="K21" s="260">
        <v>5</v>
      </c>
      <c r="L21" s="247"/>
    </row>
    <row r="22" spans="2:12" ht="15.75" customHeight="1" x14ac:dyDescent="0.25">
      <c r="B22" s="414"/>
      <c r="C22" s="25" t="s">
        <v>887</v>
      </c>
      <c r="D22" s="25" t="s">
        <v>845</v>
      </c>
      <c r="E22" s="25" t="s">
        <v>134</v>
      </c>
      <c r="F22" s="25" t="s">
        <v>131</v>
      </c>
      <c r="G22" s="136" t="s">
        <v>848</v>
      </c>
      <c r="H22" s="191" t="s">
        <v>54</v>
      </c>
      <c r="I22" s="247"/>
      <c r="J22" s="258" t="s">
        <v>309</v>
      </c>
      <c r="K22" s="260">
        <v>5</v>
      </c>
      <c r="L22" s="247"/>
    </row>
    <row r="23" spans="2:12" ht="15.75" customHeight="1" x14ac:dyDescent="0.25">
      <c r="B23" s="414"/>
      <c r="C23" s="25" t="s">
        <v>886</v>
      </c>
      <c r="D23" s="25" t="s">
        <v>845</v>
      </c>
      <c r="E23" s="25" t="s">
        <v>134</v>
      </c>
      <c r="F23" s="25" t="s">
        <v>131</v>
      </c>
      <c r="G23" s="136" t="s">
        <v>848</v>
      </c>
      <c r="H23" s="191" t="s">
        <v>54</v>
      </c>
      <c r="I23" s="247"/>
      <c r="J23" s="266" t="s">
        <v>314</v>
      </c>
      <c r="K23" s="260">
        <v>4</v>
      </c>
      <c r="L23" s="247"/>
    </row>
    <row r="24" spans="2:12" ht="15.75" customHeight="1" x14ac:dyDescent="0.25">
      <c r="B24" s="414"/>
      <c r="C24" s="25" t="s">
        <v>885</v>
      </c>
      <c r="D24" s="25" t="s">
        <v>845</v>
      </c>
      <c r="E24" s="25" t="s">
        <v>101</v>
      </c>
      <c r="F24" s="25" t="s">
        <v>130</v>
      </c>
      <c r="G24" s="135" t="s">
        <v>65</v>
      </c>
      <c r="H24" s="191" t="s">
        <v>55</v>
      </c>
      <c r="I24" s="247"/>
      <c r="J24" s="48" t="s">
        <v>748</v>
      </c>
      <c r="K24" s="260">
        <v>4</v>
      </c>
      <c r="L24" s="247"/>
    </row>
    <row r="25" spans="2:12" ht="15.75" customHeight="1" x14ac:dyDescent="0.25">
      <c r="B25" s="414"/>
      <c r="C25" s="25" t="s">
        <v>885</v>
      </c>
      <c r="D25" s="25" t="s">
        <v>845</v>
      </c>
      <c r="E25" s="25" t="s">
        <v>101</v>
      </c>
      <c r="F25" s="25" t="s">
        <v>130</v>
      </c>
      <c r="G25" s="135" t="s">
        <v>65</v>
      </c>
      <c r="H25" s="191" t="s">
        <v>55</v>
      </c>
      <c r="I25" s="247"/>
      <c r="J25" s="266" t="s">
        <v>315</v>
      </c>
      <c r="K25" s="260">
        <v>4</v>
      </c>
      <c r="L25" s="247"/>
    </row>
    <row r="26" spans="2:12" ht="15.75" customHeight="1" x14ac:dyDescent="0.25">
      <c r="B26" s="414"/>
      <c r="C26" s="25" t="s">
        <v>888</v>
      </c>
      <c r="D26" s="25" t="s">
        <v>845</v>
      </c>
      <c r="E26" s="25" t="s">
        <v>102</v>
      </c>
      <c r="F26" s="25" t="s">
        <v>768</v>
      </c>
      <c r="G26" s="134" t="s">
        <v>66</v>
      </c>
      <c r="H26" s="191" t="s">
        <v>54</v>
      </c>
      <c r="I26" s="247"/>
      <c r="J26" s="266" t="s">
        <v>311</v>
      </c>
      <c r="K26" s="260">
        <v>4</v>
      </c>
      <c r="L26" s="247"/>
    </row>
    <row r="27" spans="2:12" ht="15.75" customHeight="1" x14ac:dyDescent="0.25">
      <c r="B27" s="414"/>
      <c r="C27" s="25" t="s">
        <v>885</v>
      </c>
      <c r="D27" s="25" t="s">
        <v>845</v>
      </c>
      <c r="E27" s="25" t="s">
        <v>103</v>
      </c>
      <c r="F27" s="25" t="s">
        <v>129</v>
      </c>
      <c r="G27" s="136" t="s">
        <v>61</v>
      </c>
      <c r="H27" s="191" t="s">
        <v>55</v>
      </c>
      <c r="I27" s="247"/>
      <c r="J27" s="266" t="s">
        <v>316</v>
      </c>
      <c r="K27" s="260">
        <v>4</v>
      </c>
      <c r="L27" s="247"/>
    </row>
    <row r="28" spans="2:12" ht="15.75" customHeight="1" x14ac:dyDescent="0.25">
      <c r="B28" s="414"/>
      <c r="C28" s="25" t="s">
        <v>889</v>
      </c>
      <c r="D28" s="25" t="s">
        <v>845</v>
      </c>
      <c r="E28" s="25" t="s">
        <v>104</v>
      </c>
      <c r="F28" s="25" t="s">
        <v>57</v>
      </c>
      <c r="G28" s="135" t="s">
        <v>65</v>
      </c>
      <c r="H28" s="191" t="s">
        <v>54</v>
      </c>
      <c r="I28" s="247"/>
      <c r="J28" s="48" t="s">
        <v>715</v>
      </c>
      <c r="K28" s="260">
        <v>4</v>
      </c>
      <c r="L28" s="247"/>
    </row>
    <row r="29" spans="2:12" ht="15.75" customHeight="1" x14ac:dyDescent="0.25">
      <c r="B29" s="414"/>
      <c r="C29" s="25" t="s">
        <v>888</v>
      </c>
      <c r="D29" s="25" t="s">
        <v>845</v>
      </c>
      <c r="E29" s="25" t="s">
        <v>104</v>
      </c>
      <c r="F29" s="25" t="s">
        <v>57</v>
      </c>
      <c r="G29" s="135" t="s">
        <v>65</v>
      </c>
      <c r="H29" s="191" t="s">
        <v>54</v>
      </c>
      <c r="I29" s="247"/>
      <c r="J29" s="48" t="s">
        <v>711</v>
      </c>
      <c r="K29" s="260">
        <v>4</v>
      </c>
      <c r="L29" s="247"/>
    </row>
    <row r="30" spans="2:12" ht="15.75" customHeight="1" x14ac:dyDescent="0.25">
      <c r="B30" s="414"/>
      <c r="C30" s="25" t="s">
        <v>748</v>
      </c>
      <c r="D30" s="25" t="s">
        <v>845</v>
      </c>
      <c r="E30" s="25" t="s">
        <v>105</v>
      </c>
      <c r="F30" s="25" t="s">
        <v>80</v>
      </c>
      <c r="G30" s="135" t="s">
        <v>65</v>
      </c>
      <c r="H30" s="191" t="s">
        <v>55</v>
      </c>
      <c r="I30" s="247"/>
      <c r="J30" s="119" t="s">
        <v>327</v>
      </c>
      <c r="K30" s="260">
        <v>4</v>
      </c>
      <c r="L30" s="247"/>
    </row>
    <row r="31" spans="2:12" ht="15.75" customHeight="1" x14ac:dyDescent="0.25">
      <c r="B31" s="414"/>
      <c r="C31" s="25" t="s">
        <v>887</v>
      </c>
      <c r="D31" s="25" t="s">
        <v>845</v>
      </c>
      <c r="E31" s="25" t="s">
        <v>105</v>
      </c>
      <c r="F31" s="25" t="s">
        <v>80</v>
      </c>
      <c r="G31" s="135" t="s">
        <v>65</v>
      </c>
      <c r="H31" s="191" t="s">
        <v>55</v>
      </c>
      <c r="I31" s="247"/>
      <c r="J31" s="258" t="s">
        <v>738</v>
      </c>
      <c r="K31" s="260">
        <v>4</v>
      </c>
      <c r="L31" s="247"/>
    </row>
    <row r="32" spans="2:12" ht="15.75" customHeight="1" x14ac:dyDescent="0.25">
      <c r="B32" s="414"/>
      <c r="C32" s="25" t="s">
        <v>959</v>
      </c>
      <c r="D32" s="25" t="s">
        <v>845</v>
      </c>
      <c r="E32" s="25" t="s">
        <v>106</v>
      </c>
      <c r="F32" s="25" t="s">
        <v>621</v>
      </c>
      <c r="G32" s="136" t="s">
        <v>64</v>
      </c>
      <c r="H32" s="191" t="s">
        <v>54</v>
      </c>
      <c r="I32" s="247"/>
      <c r="J32" s="266" t="s">
        <v>313</v>
      </c>
      <c r="K32" s="260">
        <v>3</v>
      </c>
      <c r="L32" s="247"/>
    </row>
    <row r="33" spans="2:12" ht="15.75" customHeight="1" x14ac:dyDescent="0.25">
      <c r="B33" s="414"/>
      <c r="C33" s="25" t="s">
        <v>890</v>
      </c>
      <c r="D33" s="25" t="s">
        <v>845</v>
      </c>
      <c r="E33" s="25" t="s">
        <v>106</v>
      </c>
      <c r="F33" s="25" t="s">
        <v>621</v>
      </c>
      <c r="G33" s="136" t="s">
        <v>64</v>
      </c>
      <c r="H33" s="191" t="s">
        <v>54</v>
      </c>
      <c r="I33" s="247"/>
      <c r="J33" s="48" t="s">
        <v>714</v>
      </c>
      <c r="K33" s="260">
        <v>3</v>
      </c>
      <c r="L33" s="247"/>
    </row>
    <row r="34" spans="2:12" ht="15.75" customHeight="1" x14ac:dyDescent="0.25">
      <c r="B34" s="414"/>
      <c r="C34" s="25" t="s">
        <v>887</v>
      </c>
      <c r="D34" s="25" t="s">
        <v>845</v>
      </c>
      <c r="E34" s="25" t="s">
        <v>108</v>
      </c>
      <c r="F34" s="25" t="s">
        <v>852</v>
      </c>
      <c r="G34" s="136" t="s">
        <v>56</v>
      </c>
      <c r="H34" s="191" t="s">
        <v>54</v>
      </c>
      <c r="I34" s="247"/>
      <c r="J34" s="48" t="s">
        <v>716</v>
      </c>
      <c r="K34" s="260">
        <v>3</v>
      </c>
      <c r="L34" s="247"/>
    </row>
    <row r="35" spans="2:12" ht="15.75" customHeight="1" x14ac:dyDescent="0.25">
      <c r="B35" s="414"/>
      <c r="C35" s="25" t="s">
        <v>801</v>
      </c>
      <c r="D35" s="25" t="s">
        <v>845</v>
      </c>
      <c r="E35" s="25" t="s">
        <v>108</v>
      </c>
      <c r="F35" s="25" t="s">
        <v>852</v>
      </c>
      <c r="G35" s="136" t="s">
        <v>56</v>
      </c>
      <c r="H35" s="191" t="s">
        <v>54</v>
      </c>
      <c r="I35" s="247"/>
      <c r="J35" s="48" t="s">
        <v>437</v>
      </c>
      <c r="K35" s="260">
        <v>3</v>
      </c>
      <c r="L35" s="247"/>
    </row>
    <row r="36" spans="2:12" ht="15.75" customHeight="1" x14ac:dyDescent="0.25">
      <c r="B36" s="414"/>
      <c r="C36" s="25" t="s">
        <v>887</v>
      </c>
      <c r="D36" s="25" t="s">
        <v>845</v>
      </c>
      <c r="E36" s="25" t="s">
        <v>109</v>
      </c>
      <c r="F36" s="25" t="s">
        <v>77</v>
      </c>
      <c r="G36" s="134" t="s">
        <v>66</v>
      </c>
      <c r="H36" s="191" t="s">
        <v>54</v>
      </c>
      <c r="I36" s="247"/>
      <c r="J36" s="48" t="s">
        <v>440</v>
      </c>
      <c r="K36" s="260">
        <v>3</v>
      </c>
      <c r="L36" s="247"/>
    </row>
    <row r="37" spans="2:12" ht="15.75" customHeight="1" x14ac:dyDescent="0.25">
      <c r="B37" s="414"/>
      <c r="C37" s="25" t="s">
        <v>891</v>
      </c>
      <c r="D37" s="25" t="s">
        <v>845</v>
      </c>
      <c r="E37" s="25" t="s">
        <v>111</v>
      </c>
      <c r="F37" s="25" t="s">
        <v>73</v>
      </c>
      <c r="G37" s="136" t="s">
        <v>56</v>
      </c>
      <c r="H37" s="191" t="s">
        <v>54</v>
      </c>
      <c r="I37" s="247"/>
      <c r="J37" s="48" t="s">
        <v>890</v>
      </c>
      <c r="K37" s="260">
        <v>3</v>
      </c>
      <c r="L37" s="247"/>
    </row>
    <row r="38" spans="2:12" ht="15.75" customHeight="1" x14ac:dyDescent="0.25">
      <c r="B38" s="414"/>
      <c r="C38" s="25" t="s">
        <v>890</v>
      </c>
      <c r="D38" s="25" t="s">
        <v>845</v>
      </c>
      <c r="E38" s="25" t="s">
        <v>111</v>
      </c>
      <c r="F38" s="25" t="s">
        <v>73</v>
      </c>
      <c r="G38" s="136" t="s">
        <v>56</v>
      </c>
      <c r="H38" s="191" t="s">
        <v>54</v>
      </c>
      <c r="I38" s="247"/>
      <c r="J38" s="48" t="s">
        <v>746</v>
      </c>
      <c r="K38" s="260">
        <v>3</v>
      </c>
      <c r="L38" s="247"/>
    </row>
    <row r="39" spans="2:12" ht="15.75" customHeight="1" x14ac:dyDescent="0.25">
      <c r="B39" s="414"/>
      <c r="C39" s="25" t="s">
        <v>891</v>
      </c>
      <c r="D39" s="25" t="s">
        <v>845</v>
      </c>
      <c r="E39" s="25" t="s">
        <v>112</v>
      </c>
      <c r="F39" s="25" t="s">
        <v>191</v>
      </c>
      <c r="G39" s="134" t="s">
        <v>66</v>
      </c>
      <c r="H39" s="191" t="s">
        <v>55</v>
      </c>
      <c r="I39" s="247"/>
      <c r="J39" s="258" t="s">
        <v>312</v>
      </c>
      <c r="K39" s="260">
        <v>3</v>
      </c>
      <c r="L39" s="247"/>
    </row>
    <row r="40" spans="2:12" ht="15.75" customHeight="1" x14ac:dyDescent="0.25">
      <c r="B40" s="414"/>
      <c r="C40" s="25" t="s">
        <v>891</v>
      </c>
      <c r="D40" s="25" t="s">
        <v>845</v>
      </c>
      <c r="E40" s="25" t="s">
        <v>113</v>
      </c>
      <c r="F40" s="25" t="s">
        <v>70</v>
      </c>
      <c r="G40" s="134" t="s">
        <v>86</v>
      </c>
      <c r="H40" s="191" t="s">
        <v>54</v>
      </c>
      <c r="I40" s="247"/>
      <c r="J40" s="48" t="s">
        <v>801</v>
      </c>
      <c r="K40" s="260">
        <v>3</v>
      </c>
      <c r="L40" s="247"/>
    </row>
    <row r="41" spans="2:12" ht="15.75" customHeight="1" x14ac:dyDescent="0.25">
      <c r="B41" s="414"/>
      <c r="C41" s="25" t="s">
        <v>892</v>
      </c>
      <c r="D41" s="25" t="s">
        <v>845</v>
      </c>
      <c r="E41" s="76" t="s">
        <v>113</v>
      </c>
      <c r="F41" s="25" t="s">
        <v>70</v>
      </c>
      <c r="G41" s="134" t="s">
        <v>86</v>
      </c>
      <c r="H41" s="191" t="s">
        <v>54</v>
      </c>
      <c r="I41" s="247"/>
      <c r="J41" s="48" t="s">
        <v>436</v>
      </c>
      <c r="K41" s="260">
        <v>2</v>
      </c>
      <c r="L41" s="247"/>
    </row>
    <row r="42" spans="2:12" ht="15.75" customHeight="1" x14ac:dyDescent="0.25">
      <c r="B42" s="414"/>
      <c r="C42" s="25" t="s">
        <v>891</v>
      </c>
      <c r="D42" s="25" t="s">
        <v>845</v>
      </c>
      <c r="E42" s="76" t="s">
        <v>114</v>
      </c>
      <c r="F42" s="25" t="s">
        <v>76</v>
      </c>
      <c r="G42" s="136" t="s">
        <v>61</v>
      </c>
      <c r="H42" s="191" t="s">
        <v>55</v>
      </c>
      <c r="I42" s="247"/>
      <c r="J42" s="48" t="s">
        <v>435</v>
      </c>
      <c r="K42" s="260">
        <v>2</v>
      </c>
      <c r="L42" s="247"/>
    </row>
    <row r="43" spans="2:12" ht="15.75" customHeight="1" x14ac:dyDescent="0.25">
      <c r="B43" s="414"/>
      <c r="C43" s="25" t="s">
        <v>959</v>
      </c>
      <c r="D43" s="25" t="s">
        <v>845</v>
      </c>
      <c r="E43" s="76" t="s">
        <v>117</v>
      </c>
      <c r="F43" s="25" t="s">
        <v>58</v>
      </c>
      <c r="G43" s="134" t="s">
        <v>66</v>
      </c>
      <c r="H43" s="191" t="s">
        <v>55</v>
      </c>
      <c r="I43" s="247"/>
      <c r="J43" s="266" t="s">
        <v>1005</v>
      </c>
      <c r="K43" s="260">
        <v>2</v>
      </c>
      <c r="L43" s="247"/>
    </row>
    <row r="44" spans="2:12" ht="15.75" customHeight="1" x14ac:dyDescent="0.25">
      <c r="B44" s="414"/>
      <c r="C44" s="25" t="s">
        <v>748</v>
      </c>
      <c r="D44" s="25" t="s">
        <v>845</v>
      </c>
      <c r="E44" s="76" t="s">
        <v>118</v>
      </c>
      <c r="F44" s="25" t="s">
        <v>82</v>
      </c>
      <c r="G44" s="135" t="s">
        <v>65</v>
      </c>
      <c r="H44" s="191" t="s">
        <v>54</v>
      </c>
      <c r="I44" s="247"/>
      <c r="J44" s="48" t="s">
        <v>494</v>
      </c>
      <c r="K44" s="260">
        <v>2</v>
      </c>
      <c r="L44" s="247"/>
    </row>
    <row r="45" spans="2:12" ht="15.75" customHeight="1" x14ac:dyDescent="0.25">
      <c r="B45" s="414"/>
      <c r="C45" s="25" t="s">
        <v>738</v>
      </c>
      <c r="D45" s="25" t="s">
        <v>845</v>
      </c>
      <c r="E45" s="76" t="s">
        <v>118</v>
      </c>
      <c r="F45" s="25" t="s">
        <v>82</v>
      </c>
      <c r="G45" s="135" t="s">
        <v>65</v>
      </c>
      <c r="H45" s="191" t="s">
        <v>54</v>
      </c>
      <c r="I45" s="247"/>
      <c r="J45" s="48" t="s">
        <v>438</v>
      </c>
      <c r="K45" s="260">
        <v>2</v>
      </c>
      <c r="L45" s="247"/>
    </row>
    <row r="46" spans="2:12" ht="15.75" customHeight="1" x14ac:dyDescent="0.25">
      <c r="B46" s="414"/>
      <c r="C46" s="25" t="s">
        <v>887</v>
      </c>
      <c r="D46" s="25" t="s">
        <v>845</v>
      </c>
      <c r="E46" s="76" t="s">
        <v>846</v>
      </c>
      <c r="F46" s="25" t="s">
        <v>131</v>
      </c>
      <c r="G46" s="134" t="s">
        <v>66</v>
      </c>
      <c r="H46" s="191" t="s">
        <v>55</v>
      </c>
      <c r="I46" s="247"/>
      <c r="J46" s="48" t="s">
        <v>712</v>
      </c>
      <c r="K46" s="260">
        <v>2</v>
      </c>
      <c r="L46" s="247"/>
    </row>
    <row r="47" spans="2:12" ht="15.75" customHeight="1" x14ac:dyDescent="0.25">
      <c r="B47" s="414"/>
      <c r="C47" s="25" t="s">
        <v>890</v>
      </c>
      <c r="D47" s="25" t="s">
        <v>845</v>
      </c>
      <c r="E47" s="76" t="s">
        <v>121</v>
      </c>
      <c r="F47" s="25" t="s">
        <v>129</v>
      </c>
      <c r="G47" s="135" t="s">
        <v>59</v>
      </c>
      <c r="H47" s="191" t="s">
        <v>54</v>
      </c>
      <c r="I47" s="247"/>
      <c r="J47" s="48" t="s">
        <v>442</v>
      </c>
      <c r="K47" s="260">
        <v>2</v>
      </c>
      <c r="L47" s="247"/>
    </row>
    <row r="48" spans="2:12" ht="15.75" customHeight="1" x14ac:dyDescent="0.25">
      <c r="B48" s="414"/>
      <c r="C48" s="25" t="s">
        <v>891</v>
      </c>
      <c r="D48" s="25" t="s">
        <v>845</v>
      </c>
      <c r="E48" s="76" t="s">
        <v>122</v>
      </c>
      <c r="F48" s="25" t="s">
        <v>57</v>
      </c>
      <c r="G48" s="136" t="s">
        <v>61</v>
      </c>
      <c r="H48" s="191" t="s">
        <v>55</v>
      </c>
      <c r="I48" s="247"/>
      <c r="J48" s="119" t="s">
        <v>329</v>
      </c>
      <c r="K48" s="260">
        <v>2</v>
      </c>
      <c r="L48" s="247"/>
    </row>
    <row r="49" spans="2:12" ht="15.75" customHeight="1" thickBot="1" x14ac:dyDescent="0.3">
      <c r="B49" s="414"/>
      <c r="C49" s="25" t="s">
        <v>748</v>
      </c>
      <c r="D49" s="25" t="s">
        <v>845</v>
      </c>
      <c r="E49" s="76" t="s">
        <v>124</v>
      </c>
      <c r="F49" s="25" t="s">
        <v>621</v>
      </c>
      <c r="G49" s="135" t="s">
        <v>59</v>
      </c>
      <c r="H49" s="191" t="s">
        <v>55</v>
      </c>
      <c r="I49" s="247"/>
      <c r="J49" s="258" t="s">
        <v>317</v>
      </c>
      <c r="K49" s="260">
        <v>2</v>
      </c>
      <c r="L49" s="247"/>
    </row>
    <row r="50" spans="2:12" ht="15.75" customHeight="1" x14ac:dyDescent="0.25">
      <c r="B50" s="414"/>
      <c r="C50" s="22" t="s">
        <v>439</v>
      </c>
      <c r="D50" s="22" t="s">
        <v>765</v>
      </c>
      <c r="E50" s="77" t="s">
        <v>93</v>
      </c>
      <c r="F50" s="22" t="s">
        <v>78</v>
      </c>
      <c r="G50" s="194" t="s">
        <v>66</v>
      </c>
      <c r="H50" s="157" t="s">
        <v>54</v>
      </c>
      <c r="I50" s="247"/>
      <c r="J50" s="258" t="s">
        <v>798</v>
      </c>
      <c r="K50" s="260">
        <v>2</v>
      </c>
      <c r="L50" s="247"/>
    </row>
    <row r="51" spans="2:12" ht="15.75" customHeight="1" x14ac:dyDescent="0.25">
      <c r="B51" s="414"/>
      <c r="C51" s="25" t="s">
        <v>746</v>
      </c>
      <c r="D51" s="25" t="s">
        <v>765</v>
      </c>
      <c r="E51" s="76" t="s">
        <v>96</v>
      </c>
      <c r="F51" s="25" t="s">
        <v>71</v>
      </c>
      <c r="G51" s="135" t="s">
        <v>59</v>
      </c>
      <c r="H51" s="191" t="s">
        <v>55</v>
      </c>
      <c r="I51" s="247"/>
      <c r="J51" s="48" t="s">
        <v>888</v>
      </c>
      <c r="K51" s="260">
        <v>2</v>
      </c>
      <c r="L51" s="247"/>
    </row>
    <row r="52" spans="2:12" ht="15.75" customHeight="1" x14ac:dyDescent="0.25">
      <c r="B52" s="414"/>
      <c r="C52" s="25" t="s">
        <v>798</v>
      </c>
      <c r="D52" s="25" t="s">
        <v>765</v>
      </c>
      <c r="E52" s="76" t="s">
        <v>97</v>
      </c>
      <c r="F52" s="25" t="s">
        <v>70</v>
      </c>
      <c r="G52" s="136" t="s">
        <v>56</v>
      </c>
      <c r="H52" s="191" t="s">
        <v>55</v>
      </c>
      <c r="I52" s="247"/>
      <c r="J52" s="119" t="s">
        <v>1013</v>
      </c>
      <c r="K52" s="260">
        <v>1</v>
      </c>
      <c r="L52" s="247"/>
    </row>
    <row r="53" spans="2:12" ht="15.75" customHeight="1" x14ac:dyDescent="0.25">
      <c r="B53" s="414"/>
      <c r="C53" s="25" t="s">
        <v>439</v>
      </c>
      <c r="D53" s="25" t="s">
        <v>765</v>
      </c>
      <c r="E53" s="76" t="s">
        <v>97</v>
      </c>
      <c r="F53" s="25" t="s">
        <v>70</v>
      </c>
      <c r="G53" s="136" t="s">
        <v>56</v>
      </c>
      <c r="H53" s="191" t="s">
        <v>55</v>
      </c>
      <c r="I53" s="247"/>
      <c r="J53" s="119" t="s">
        <v>332</v>
      </c>
      <c r="K53" s="260">
        <v>1</v>
      </c>
      <c r="L53" s="247"/>
    </row>
    <row r="54" spans="2:12" ht="15.75" customHeight="1" x14ac:dyDescent="0.25">
      <c r="B54" s="414"/>
      <c r="C54" s="25" t="s">
        <v>713</v>
      </c>
      <c r="D54" s="25" t="s">
        <v>765</v>
      </c>
      <c r="E54" s="76" t="s">
        <v>98</v>
      </c>
      <c r="F54" s="25" t="s">
        <v>406</v>
      </c>
      <c r="G54" s="81" t="s">
        <v>766</v>
      </c>
      <c r="H54" s="255" t="s">
        <v>54</v>
      </c>
      <c r="I54" s="247"/>
      <c r="J54" s="48" t="s">
        <v>802</v>
      </c>
      <c r="K54" s="260">
        <v>1</v>
      </c>
      <c r="L54" s="247"/>
    </row>
    <row r="55" spans="2:12" ht="15.75" customHeight="1" x14ac:dyDescent="0.25">
      <c r="B55" s="414"/>
      <c r="C55" s="25" t="s">
        <v>959</v>
      </c>
      <c r="D55" s="25" t="s">
        <v>765</v>
      </c>
      <c r="E55" s="76" t="s">
        <v>99</v>
      </c>
      <c r="F55" s="25" t="s">
        <v>76</v>
      </c>
      <c r="G55" s="80" t="s">
        <v>66</v>
      </c>
      <c r="H55" s="255" t="s">
        <v>55</v>
      </c>
      <c r="I55" s="247"/>
      <c r="J55" s="48" t="s">
        <v>737</v>
      </c>
      <c r="K55" s="260">
        <v>1</v>
      </c>
      <c r="L55" s="247"/>
    </row>
    <row r="56" spans="2:12" ht="15.75" customHeight="1" x14ac:dyDescent="0.25">
      <c r="B56" s="414"/>
      <c r="C56" s="25" t="s">
        <v>320</v>
      </c>
      <c r="D56" s="25" t="s">
        <v>765</v>
      </c>
      <c r="E56" s="76" t="s">
        <v>134</v>
      </c>
      <c r="F56" s="25" t="s">
        <v>130</v>
      </c>
      <c r="G56" s="78" t="s">
        <v>85</v>
      </c>
      <c r="H56" s="255" t="s">
        <v>54</v>
      </c>
      <c r="I56" s="247"/>
      <c r="J56" s="48" t="s">
        <v>717</v>
      </c>
      <c r="K56" s="260">
        <v>1</v>
      </c>
      <c r="L56" s="247"/>
    </row>
    <row r="57" spans="2:12" ht="15.75" customHeight="1" x14ac:dyDescent="0.25">
      <c r="B57" s="414"/>
      <c r="C57" s="25" t="s">
        <v>439</v>
      </c>
      <c r="D57" s="25" t="s">
        <v>765</v>
      </c>
      <c r="E57" s="76" t="s">
        <v>134</v>
      </c>
      <c r="F57" s="25" t="s">
        <v>130</v>
      </c>
      <c r="G57" s="78" t="s">
        <v>85</v>
      </c>
      <c r="H57" s="255" t="s">
        <v>54</v>
      </c>
      <c r="I57" s="247"/>
      <c r="J57" s="258" t="s">
        <v>318</v>
      </c>
      <c r="K57" s="260">
        <v>1</v>
      </c>
      <c r="L57" s="247"/>
    </row>
    <row r="58" spans="2:12" ht="15.75" customHeight="1" x14ac:dyDescent="0.25">
      <c r="B58" s="414"/>
      <c r="C58" s="25" t="s">
        <v>799</v>
      </c>
      <c r="D58" s="25" t="s">
        <v>765</v>
      </c>
      <c r="E58" s="76" t="s">
        <v>134</v>
      </c>
      <c r="F58" s="25" t="s">
        <v>130</v>
      </c>
      <c r="G58" s="78" t="s">
        <v>85</v>
      </c>
      <c r="H58" s="255" t="s">
        <v>54</v>
      </c>
      <c r="I58" s="247"/>
      <c r="J58" s="258" t="s">
        <v>319</v>
      </c>
      <c r="K58" s="260">
        <v>1</v>
      </c>
      <c r="L58" s="247"/>
    </row>
    <row r="59" spans="2:12" ht="15.75" customHeight="1" x14ac:dyDescent="0.25">
      <c r="B59" s="414"/>
      <c r="C59" s="25" t="s">
        <v>715</v>
      </c>
      <c r="D59" s="25" t="s">
        <v>765</v>
      </c>
      <c r="E59" s="76" t="s">
        <v>103</v>
      </c>
      <c r="F59" s="25" t="s">
        <v>73</v>
      </c>
      <c r="G59" s="78" t="s">
        <v>767</v>
      </c>
      <c r="H59" s="255" t="s">
        <v>55</v>
      </c>
      <c r="I59" s="247"/>
      <c r="J59" s="48" t="s">
        <v>889</v>
      </c>
      <c r="K59" s="260">
        <v>1</v>
      </c>
      <c r="L59" s="247"/>
    </row>
    <row r="60" spans="2:12" ht="15.75" customHeight="1" x14ac:dyDescent="0.25">
      <c r="B60" s="414"/>
      <c r="C60" s="25" t="s">
        <v>798</v>
      </c>
      <c r="D60" s="25" t="s">
        <v>765</v>
      </c>
      <c r="E60" s="76" t="s">
        <v>103</v>
      </c>
      <c r="F60" s="25" t="s">
        <v>73</v>
      </c>
      <c r="G60" s="78" t="s">
        <v>767</v>
      </c>
      <c r="H60" s="255" t="s">
        <v>55</v>
      </c>
      <c r="I60" s="247"/>
      <c r="J60" s="258" t="s">
        <v>331</v>
      </c>
      <c r="K60" s="260">
        <v>1</v>
      </c>
      <c r="L60" s="247"/>
    </row>
    <row r="61" spans="2:12" ht="15.75" customHeight="1" x14ac:dyDescent="0.25">
      <c r="B61" s="414"/>
      <c r="C61" s="25" t="s">
        <v>801</v>
      </c>
      <c r="D61" s="25" t="s">
        <v>765</v>
      </c>
      <c r="E61" s="76" t="s">
        <v>103</v>
      </c>
      <c r="F61" s="25" t="s">
        <v>73</v>
      </c>
      <c r="G61" s="78" t="s">
        <v>767</v>
      </c>
      <c r="H61" s="255" t="s">
        <v>55</v>
      </c>
      <c r="I61" s="247"/>
      <c r="J61" s="258" t="s">
        <v>321</v>
      </c>
      <c r="K61" s="260">
        <v>1</v>
      </c>
      <c r="L61" s="247"/>
    </row>
    <row r="62" spans="2:12" ht="15.75" customHeight="1" x14ac:dyDescent="0.25">
      <c r="B62" s="414"/>
      <c r="C62" s="25" t="s">
        <v>320</v>
      </c>
      <c r="D62" s="25" t="s">
        <v>765</v>
      </c>
      <c r="E62" s="25" t="s">
        <v>105</v>
      </c>
      <c r="F62" s="25" t="s">
        <v>82</v>
      </c>
      <c r="G62" s="136" t="s">
        <v>61</v>
      </c>
      <c r="H62" s="255" t="s">
        <v>55</v>
      </c>
      <c r="I62" s="247"/>
      <c r="J62" s="258" t="s">
        <v>322</v>
      </c>
      <c r="K62" s="260">
        <v>1</v>
      </c>
      <c r="L62" s="247"/>
    </row>
    <row r="63" spans="2:12" ht="15.75" customHeight="1" x14ac:dyDescent="0.25">
      <c r="B63" s="414"/>
      <c r="C63" s="25" t="s">
        <v>801</v>
      </c>
      <c r="D63" s="25" t="s">
        <v>765</v>
      </c>
      <c r="E63" s="25" t="s">
        <v>106</v>
      </c>
      <c r="F63" s="25" t="s">
        <v>77</v>
      </c>
      <c r="G63" s="136" t="s">
        <v>61</v>
      </c>
      <c r="H63" s="191" t="s">
        <v>54</v>
      </c>
      <c r="I63" s="247"/>
      <c r="J63" s="258" t="s">
        <v>323</v>
      </c>
      <c r="K63" s="260">
        <v>1</v>
      </c>
      <c r="L63" s="247"/>
    </row>
    <row r="64" spans="2:12" ht="15.75" customHeight="1" x14ac:dyDescent="0.25">
      <c r="B64" s="414"/>
      <c r="C64" s="25" t="s">
        <v>439</v>
      </c>
      <c r="D64" s="25" t="s">
        <v>765</v>
      </c>
      <c r="E64" s="25" t="s">
        <v>108</v>
      </c>
      <c r="F64" s="25" t="s">
        <v>57</v>
      </c>
      <c r="G64" s="135" t="s">
        <v>59</v>
      </c>
      <c r="H64" s="191" t="s">
        <v>54</v>
      </c>
      <c r="I64" s="247"/>
      <c r="J64" s="258" t="s">
        <v>324</v>
      </c>
      <c r="K64" s="260">
        <v>1</v>
      </c>
      <c r="L64" s="247"/>
    </row>
    <row r="65" spans="2:12" ht="15.75" customHeight="1" x14ac:dyDescent="0.25">
      <c r="B65" s="414"/>
      <c r="C65" s="25" t="s">
        <v>709</v>
      </c>
      <c r="D65" s="25" t="s">
        <v>719</v>
      </c>
      <c r="E65" s="25" t="s">
        <v>91</v>
      </c>
      <c r="F65" s="25" t="s">
        <v>79</v>
      </c>
      <c r="G65" s="134" t="s">
        <v>66</v>
      </c>
      <c r="H65" s="191" t="s">
        <v>54</v>
      </c>
      <c r="I65" s="247"/>
      <c r="J65" s="258" t="s">
        <v>325</v>
      </c>
      <c r="K65" s="260">
        <v>1</v>
      </c>
      <c r="L65" s="247"/>
    </row>
    <row r="66" spans="2:12" ht="15.75" customHeight="1" x14ac:dyDescent="0.25">
      <c r="B66" s="414"/>
      <c r="C66" s="25" t="s">
        <v>715</v>
      </c>
      <c r="D66" s="25" t="s">
        <v>719</v>
      </c>
      <c r="E66" s="25" t="s">
        <v>92</v>
      </c>
      <c r="F66" s="25" t="s">
        <v>83</v>
      </c>
      <c r="G66" s="135" t="s">
        <v>59</v>
      </c>
      <c r="H66" s="191" t="s">
        <v>55</v>
      </c>
      <c r="I66" s="247"/>
      <c r="J66" s="48" t="s">
        <v>434</v>
      </c>
      <c r="K66" s="260">
        <v>1</v>
      </c>
      <c r="L66" s="247"/>
    </row>
    <row r="67" spans="2:12" ht="15.75" customHeight="1" x14ac:dyDescent="0.25">
      <c r="B67" s="414"/>
      <c r="C67" s="25" t="s">
        <v>959</v>
      </c>
      <c r="D67" s="25" t="s">
        <v>719</v>
      </c>
      <c r="E67" s="25" t="s">
        <v>95</v>
      </c>
      <c r="F67" s="25" t="s">
        <v>131</v>
      </c>
      <c r="G67" s="136" t="s">
        <v>56</v>
      </c>
      <c r="H67" s="191" t="s">
        <v>55</v>
      </c>
      <c r="I67" s="247"/>
      <c r="J67" s="48" t="s">
        <v>1006</v>
      </c>
      <c r="K67" s="260">
        <v>1</v>
      </c>
      <c r="L67" s="247"/>
    </row>
    <row r="68" spans="2:12" ht="15.75" customHeight="1" x14ac:dyDescent="0.25">
      <c r="B68" s="414"/>
      <c r="C68" s="25" t="s">
        <v>746</v>
      </c>
      <c r="D68" s="25" t="s">
        <v>719</v>
      </c>
      <c r="E68" s="25" t="s">
        <v>95</v>
      </c>
      <c r="F68" s="25" t="s">
        <v>131</v>
      </c>
      <c r="G68" s="136" t="s">
        <v>56</v>
      </c>
      <c r="H68" s="191" t="s">
        <v>55</v>
      </c>
      <c r="I68" s="247"/>
      <c r="J68" s="258" t="s">
        <v>718</v>
      </c>
      <c r="K68" s="260">
        <v>1</v>
      </c>
      <c r="L68" s="247"/>
    </row>
    <row r="69" spans="2:12" ht="15.75" customHeight="1" thickBot="1" x14ac:dyDescent="0.3">
      <c r="B69" s="414"/>
      <c r="C69" s="25" t="s">
        <v>439</v>
      </c>
      <c r="D69" s="25" t="s">
        <v>719</v>
      </c>
      <c r="E69" s="25" t="s">
        <v>96</v>
      </c>
      <c r="F69" s="25" t="s">
        <v>71</v>
      </c>
      <c r="G69" s="136" t="s">
        <v>64</v>
      </c>
      <c r="H69" s="191" t="s">
        <v>54</v>
      </c>
      <c r="I69" s="247"/>
      <c r="J69" s="53" t="s">
        <v>892</v>
      </c>
      <c r="K69" s="261">
        <v>1</v>
      </c>
      <c r="L69" s="259"/>
    </row>
    <row r="70" spans="2:12" ht="15.75" customHeight="1" x14ac:dyDescent="0.25">
      <c r="B70" s="414"/>
      <c r="C70" s="25" t="s">
        <v>709</v>
      </c>
      <c r="D70" s="25" t="s">
        <v>719</v>
      </c>
      <c r="E70" s="25" t="s">
        <v>96</v>
      </c>
      <c r="F70" s="25" t="s">
        <v>71</v>
      </c>
      <c r="G70" s="136" t="s">
        <v>64</v>
      </c>
      <c r="H70" s="191" t="s">
        <v>54</v>
      </c>
      <c r="I70" s="247"/>
    </row>
    <row r="71" spans="2:12" ht="15.75" customHeight="1" x14ac:dyDescent="0.25">
      <c r="B71" s="414"/>
      <c r="C71" s="25" t="s">
        <v>439</v>
      </c>
      <c r="D71" s="25" t="s">
        <v>719</v>
      </c>
      <c r="E71" s="25" t="s">
        <v>100</v>
      </c>
      <c r="F71" s="25" t="s">
        <v>191</v>
      </c>
      <c r="G71" s="134" t="s">
        <v>86</v>
      </c>
      <c r="H71" s="191" t="s">
        <v>55</v>
      </c>
      <c r="I71" s="247"/>
    </row>
    <row r="72" spans="2:12" ht="15.75" customHeight="1" x14ac:dyDescent="0.25">
      <c r="B72" s="414"/>
      <c r="C72" s="25" t="s">
        <v>709</v>
      </c>
      <c r="D72" s="25" t="s">
        <v>719</v>
      </c>
      <c r="E72" s="25" t="s">
        <v>100</v>
      </c>
      <c r="F72" s="25" t="s">
        <v>191</v>
      </c>
      <c r="G72" s="134" t="s">
        <v>86</v>
      </c>
      <c r="H72" s="191" t="s">
        <v>55</v>
      </c>
      <c r="I72" s="247"/>
    </row>
    <row r="73" spans="2:12" ht="15.75" customHeight="1" x14ac:dyDescent="0.25">
      <c r="B73" s="414"/>
      <c r="C73" s="25" t="s">
        <v>746</v>
      </c>
      <c r="D73" s="25" t="s">
        <v>719</v>
      </c>
      <c r="E73" s="25" t="s">
        <v>97</v>
      </c>
      <c r="F73" s="25" t="s">
        <v>70</v>
      </c>
      <c r="G73" s="134" t="s">
        <v>66</v>
      </c>
      <c r="H73" s="191" t="s">
        <v>54</v>
      </c>
      <c r="I73" s="247"/>
    </row>
    <row r="74" spans="2:12" ht="15.75" customHeight="1" x14ac:dyDescent="0.25">
      <c r="B74" s="414"/>
      <c r="C74" s="25" t="s">
        <v>320</v>
      </c>
      <c r="D74" s="25" t="s">
        <v>719</v>
      </c>
      <c r="E74" s="25" t="s">
        <v>98</v>
      </c>
      <c r="F74" s="25" t="s">
        <v>406</v>
      </c>
      <c r="G74" s="136" t="s">
        <v>739</v>
      </c>
      <c r="H74" s="191" t="s">
        <v>55</v>
      </c>
      <c r="I74" s="247"/>
    </row>
    <row r="75" spans="2:12" ht="15.75" customHeight="1" x14ac:dyDescent="0.25">
      <c r="B75" s="414"/>
      <c r="C75" s="25" t="s">
        <v>748</v>
      </c>
      <c r="D75" s="25" t="s">
        <v>719</v>
      </c>
      <c r="E75" s="25" t="s">
        <v>98</v>
      </c>
      <c r="F75" s="25" t="s">
        <v>406</v>
      </c>
      <c r="G75" s="136" t="s">
        <v>739</v>
      </c>
      <c r="H75" s="191" t="s">
        <v>55</v>
      </c>
      <c r="I75" s="247"/>
    </row>
    <row r="76" spans="2:12" ht="15.75" customHeight="1" x14ac:dyDescent="0.25">
      <c r="B76" s="414"/>
      <c r="C76" s="25" t="s">
        <v>1006</v>
      </c>
      <c r="D76" s="25" t="s">
        <v>719</v>
      </c>
      <c r="E76" s="25" t="s">
        <v>98</v>
      </c>
      <c r="F76" s="25" t="s">
        <v>406</v>
      </c>
      <c r="G76" s="136" t="s">
        <v>739</v>
      </c>
      <c r="H76" s="191" t="s">
        <v>55</v>
      </c>
      <c r="I76" s="247"/>
    </row>
    <row r="77" spans="2:12" ht="15.75" customHeight="1" x14ac:dyDescent="0.25">
      <c r="B77" s="414"/>
      <c r="C77" s="25" t="s">
        <v>715</v>
      </c>
      <c r="D77" s="25" t="s">
        <v>719</v>
      </c>
      <c r="E77" s="25" t="s">
        <v>98</v>
      </c>
      <c r="F77" s="25" t="s">
        <v>406</v>
      </c>
      <c r="G77" s="136" t="s">
        <v>739</v>
      </c>
      <c r="H77" s="191" t="s">
        <v>55</v>
      </c>
      <c r="I77" s="247"/>
    </row>
    <row r="78" spans="2:12" ht="15.75" customHeight="1" thickBot="1" x14ac:dyDescent="0.3">
      <c r="B78" s="414"/>
      <c r="C78" s="23" t="s">
        <v>439</v>
      </c>
      <c r="D78" s="23" t="s">
        <v>719</v>
      </c>
      <c r="E78" s="23" t="s">
        <v>98</v>
      </c>
      <c r="F78" s="23" t="s">
        <v>406</v>
      </c>
      <c r="G78" s="165" t="s">
        <v>739</v>
      </c>
      <c r="H78" s="257" t="s">
        <v>55</v>
      </c>
      <c r="I78" s="247"/>
    </row>
    <row r="79" spans="2:12" ht="15.75" customHeight="1" x14ac:dyDescent="0.25">
      <c r="B79" s="414"/>
      <c r="C79" s="25" t="s">
        <v>714</v>
      </c>
      <c r="D79" s="25" t="s">
        <v>720</v>
      </c>
      <c r="E79" s="25" t="s">
        <v>92</v>
      </c>
      <c r="F79" s="25" t="s">
        <v>82</v>
      </c>
      <c r="G79" s="134" t="s">
        <v>86</v>
      </c>
      <c r="H79" s="191" t="s">
        <v>55</v>
      </c>
      <c r="I79" s="247"/>
    </row>
    <row r="80" spans="2:12" ht="15.75" customHeight="1" x14ac:dyDescent="0.25">
      <c r="B80" s="414"/>
      <c r="C80" s="25" t="s">
        <v>714</v>
      </c>
      <c r="D80" s="25" t="s">
        <v>720</v>
      </c>
      <c r="E80" s="25" t="s">
        <v>93</v>
      </c>
      <c r="F80" s="25" t="s">
        <v>82</v>
      </c>
      <c r="G80" s="134" t="s">
        <v>86</v>
      </c>
      <c r="H80" s="191" t="s">
        <v>54</v>
      </c>
      <c r="I80" s="247"/>
    </row>
    <row r="81" spans="2:9" ht="15.75" customHeight="1" x14ac:dyDescent="0.25">
      <c r="B81" s="414"/>
      <c r="C81" s="25" t="s">
        <v>737</v>
      </c>
      <c r="D81" s="25" t="s">
        <v>720</v>
      </c>
      <c r="E81" s="25" t="s">
        <v>93</v>
      </c>
      <c r="F81" s="25" t="s">
        <v>58</v>
      </c>
      <c r="G81" s="134" t="s">
        <v>66</v>
      </c>
      <c r="H81" s="191" t="s">
        <v>54</v>
      </c>
      <c r="I81" s="247"/>
    </row>
    <row r="82" spans="2:9" ht="15.75" customHeight="1" x14ac:dyDescent="0.25">
      <c r="B82" s="414"/>
      <c r="C82" s="25" t="s">
        <v>738</v>
      </c>
      <c r="D82" s="25" t="s">
        <v>720</v>
      </c>
      <c r="E82" s="25" t="s">
        <v>94</v>
      </c>
      <c r="F82" s="25" t="s">
        <v>79</v>
      </c>
      <c r="G82" s="135" t="s">
        <v>59</v>
      </c>
      <c r="H82" s="191" t="s">
        <v>55</v>
      </c>
      <c r="I82" s="247"/>
    </row>
    <row r="83" spans="2:9" ht="15.75" customHeight="1" thickBot="1" x14ac:dyDescent="0.3">
      <c r="B83" s="414"/>
      <c r="C83" s="25" t="s">
        <v>738</v>
      </c>
      <c r="D83" s="23" t="s">
        <v>720</v>
      </c>
      <c r="E83" s="23" t="s">
        <v>94</v>
      </c>
      <c r="F83" s="23" t="s">
        <v>131</v>
      </c>
      <c r="G83" s="137" t="s">
        <v>161</v>
      </c>
      <c r="H83" s="257" t="s">
        <v>55</v>
      </c>
      <c r="I83" s="247"/>
    </row>
    <row r="84" spans="2:9" ht="15.75" customHeight="1" x14ac:dyDescent="0.25">
      <c r="B84" s="414"/>
      <c r="C84" s="22" t="s">
        <v>709</v>
      </c>
      <c r="D84" s="25" t="s">
        <v>618</v>
      </c>
      <c r="E84" s="25" t="s">
        <v>92</v>
      </c>
      <c r="F84" s="25" t="s">
        <v>58</v>
      </c>
      <c r="G84" s="134" t="s">
        <v>66</v>
      </c>
      <c r="H84" s="191" t="s">
        <v>55</v>
      </c>
      <c r="I84" s="247"/>
    </row>
    <row r="85" spans="2:9" ht="15.75" customHeight="1" x14ac:dyDescent="0.25">
      <c r="B85" s="414"/>
      <c r="C85" s="25" t="s">
        <v>439</v>
      </c>
      <c r="D85" s="25" t="s">
        <v>618</v>
      </c>
      <c r="E85" s="25" t="s">
        <v>93</v>
      </c>
      <c r="F85" s="25" t="s">
        <v>76</v>
      </c>
      <c r="G85" s="136" t="s">
        <v>56</v>
      </c>
      <c r="H85" s="191" t="s">
        <v>54</v>
      </c>
      <c r="I85" s="247"/>
    </row>
    <row r="86" spans="2:9" ht="15.75" customHeight="1" x14ac:dyDescent="0.25">
      <c r="B86" s="414"/>
      <c r="C86" s="25" t="s">
        <v>710</v>
      </c>
      <c r="D86" s="25" t="s">
        <v>618</v>
      </c>
      <c r="E86" s="25" t="s">
        <v>93</v>
      </c>
      <c r="F86" s="25" t="s">
        <v>76</v>
      </c>
      <c r="G86" s="136" t="s">
        <v>56</v>
      </c>
      <c r="H86" s="191" t="s">
        <v>54</v>
      </c>
      <c r="I86" s="247"/>
    </row>
    <row r="87" spans="2:9" ht="15.75" customHeight="1" x14ac:dyDescent="0.25">
      <c r="B87" s="414"/>
      <c r="C87" s="25" t="s">
        <v>714</v>
      </c>
      <c r="D87" s="25" t="s">
        <v>618</v>
      </c>
      <c r="E87" s="25" t="s">
        <v>94</v>
      </c>
      <c r="F87" s="25" t="s">
        <v>406</v>
      </c>
      <c r="G87" s="134" t="s">
        <v>620</v>
      </c>
      <c r="H87" s="191" t="s">
        <v>55</v>
      </c>
      <c r="I87" s="247"/>
    </row>
    <row r="88" spans="2:9" ht="15.75" customHeight="1" x14ac:dyDescent="0.25">
      <c r="B88" s="414"/>
      <c r="C88" s="25" t="s">
        <v>439</v>
      </c>
      <c r="D88" s="25" t="s">
        <v>618</v>
      </c>
      <c r="E88" s="25" t="s">
        <v>94</v>
      </c>
      <c r="F88" s="25" t="s">
        <v>406</v>
      </c>
      <c r="G88" s="134" t="s">
        <v>620</v>
      </c>
      <c r="H88" s="191" t="s">
        <v>55</v>
      </c>
      <c r="I88" s="247"/>
    </row>
    <row r="89" spans="2:9" x14ac:dyDescent="0.25">
      <c r="B89" s="414"/>
      <c r="C89" s="25" t="s">
        <v>711</v>
      </c>
      <c r="D89" s="25" t="s">
        <v>618</v>
      </c>
      <c r="E89" s="25" t="s">
        <v>94</v>
      </c>
      <c r="F89" s="25" t="s">
        <v>406</v>
      </c>
      <c r="G89" s="134" t="s">
        <v>620</v>
      </c>
      <c r="H89" s="191" t="s">
        <v>55</v>
      </c>
      <c r="I89" s="247"/>
    </row>
    <row r="90" spans="2:9" x14ac:dyDescent="0.25">
      <c r="B90" s="414"/>
      <c r="C90" s="25" t="s">
        <v>710</v>
      </c>
      <c r="D90" s="25" t="s">
        <v>618</v>
      </c>
      <c r="E90" s="25" t="s">
        <v>95</v>
      </c>
      <c r="F90" s="25" t="s">
        <v>131</v>
      </c>
      <c r="G90" s="135" t="s">
        <v>161</v>
      </c>
      <c r="H90" s="191" t="s">
        <v>54</v>
      </c>
      <c r="I90" s="247"/>
    </row>
    <row r="91" spans="2:9" x14ac:dyDescent="0.25">
      <c r="B91" s="414"/>
      <c r="C91" s="25" t="s">
        <v>709</v>
      </c>
      <c r="D91" s="25" t="s">
        <v>618</v>
      </c>
      <c r="E91" s="25" t="s">
        <v>96</v>
      </c>
      <c r="F91" s="25" t="s">
        <v>621</v>
      </c>
      <c r="G91" s="135" t="s">
        <v>59</v>
      </c>
      <c r="H91" s="191" t="s">
        <v>55</v>
      </c>
      <c r="I91" s="247"/>
    </row>
    <row r="92" spans="2:9" x14ac:dyDescent="0.25">
      <c r="B92" s="414"/>
      <c r="C92" s="25" t="s">
        <v>709</v>
      </c>
      <c r="D92" s="25" t="s">
        <v>618</v>
      </c>
      <c r="E92" s="25" t="s">
        <v>100</v>
      </c>
      <c r="F92" s="25" t="s">
        <v>77</v>
      </c>
      <c r="G92" s="135" t="s">
        <v>161</v>
      </c>
      <c r="H92" s="191" t="s">
        <v>54</v>
      </c>
      <c r="I92" s="247"/>
    </row>
    <row r="93" spans="2:9" x14ac:dyDescent="0.25">
      <c r="B93" s="414"/>
      <c r="C93" s="25" t="s">
        <v>710</v>
      </c>
      <c r="D93" s="25" t="s">
        <v>618</v>
      </c>
      <c r="E93" s="25" t="s">
        <v>98</v>
      </c>
      <c r="F93" s="25" t="s">
        <v>83</v>
      </c>
      <c r="G93" s="135" t="s">
        <v>59</v>
      </c>
      <c r="H93" s="191" t="s">
        <v>54</v>
      </c>
      <c r="I93" s="247"/>
    </row>
    <row r="94" spans="2:9" x14ac:dyDescent="0.25">
      <c r="B94" s="414"/>
      <c r="C94" s="25" t="s">
        <v>711</v>
      </c>
      <c r="D94" s="25" t="s">
        <v>618</v>
      </c>
      <c r="E94" s="25" t="s">
        <v>99</v>
      </c>
      <c r="F94" s="25" t="s">
        <v>80</v>
      </c>
      <c r="G94" s="136" t="s">
        <v>61</v>
      </c>
      <c r="H94" s="191" t="s">
        <v>55</v>
      </c>
      <c r="I94" s="247"/>
    </row>
    <row r="95" spans="2:9" x14ac:dyDescent="0.25">
      <c r="B95" s="414"/>
      <c r="C95" s="25" t="s">
        <v>710</v>
      </c>
      <c r="D95" s="25" t="s">
        <v>618</v>
      </c>
      <c r="E95" s="25" t="s">
        <v>102</v>
      </c>
      <c r="F95" s="25" t="s">
        <v>73</v>
      </c>
      <c r="G95" s="134" t="s">
        <v>66</v>
      </c>
      <c r="H95" s="191" t="s">
        <v>55</v>
      </c>
      <c r="I95" s="247"/>
    </row>
    <row r="96" spans="2:9" x14ac:dyDescent="0.25">
      <c r="B96" s="414"/>
      <c r="C96" s="25" t="s">
        <v>716</v>
      </c>
      <c r="D96" s="25" t="s">
        <v>618</v>
      </c>
      <c r="E96" s="25" t="s">
        <v>106</v>
      </c>
      <c r="F96" s="25" t="s">
        <v>70</v>
      </c>
      <c r="G96" s="136" t="s">
        <v>622</v>
      </c>
      <c r="H96" s="191" t="s">
        <v>55</v>
      </c>
      <c r="I96" s="247"/>
    </row>
    <row r="97" spans="2:9" x14ac:dyDescent="0.25">
      <c r="B97" s="414"/>
      <c r="C97" s="25" t="s">
        <v>713</v>
      </c>
      <c r="D97" s="25" t="s">
        <v>618</v>
      </c>
      <c r="E97" s="25" t="s">
        <v>106</v>
      </c>
      <c r="F97" s="25" t="s">
        <v>70</v>
      </c>
      <c r="G97" s="136" t="s">
        <v>622</v>
      </c>
      <c r="H97" s="191" t="s">
        <v>55</v>
      </c>
      <c r="I97" s="247"/>
    </row>
    <row r="98" spans="2:9" x14ac:dyDescent="0.25">
      <c r="B98" s="414"/>
      <c r="C98" s="25" t="s">
        <v>717</v>
      </c>
      <c r="D98" s="25" t="s">
        <v>618</v>
      </c>
      <c r="E98" s="25" t="s">
        <v>106</v>
      </c>
      <c r="F98" s="25" t="s">
        <v>70</v>
      </c>
      <c r="G98" s="136" t="s">
        <v>622</v>
      </c>
      <c r="H98" s="191" t="s">
        <v>55</v>
      </c>
      <c r="I98" s="247"/>
    </row>
    <row r="99" spans="2:9" x14ac:dyDescent="0.25">
      <c r="B99" s="414"/>
      <c r="C99" s="25" t="s">
        <v>436</v>
      </c>
      <c r="D99" s="25" t="s">
        <v>618</v>
      </c>
      <c r="E99" s="25" t="s">
        <v>106</v>
      </c>
      <c r="F99" s="25" t="s">
        <v>70</v>
      </c>
      <c r="G99" s="136" t="s">
        <v>622</v>
      </c>
      <c r="H99" s="191" t="s">
        <v>55</v>
      </c>
      <c r="I99" s="247"/>
    </row>
    <row r="100" spans="2:9" x14ac:dyDescent="0.25">
      <c r="B100" s="414"/>
      <c r="C100" s="25" t="s">
        <v>710</v>
      </c>
      <c r="D100" s="25" t="s">
        <v>618</v>
      </c>
      <c r="E100" s="25" t="s">
        <v>107</v>
      </c>
      <c r="F100" s="25" t="s">
        <v>79</v>
      </c>
      <c r="G100" s="136" t="s">
        <v>623</v>
      </c>
      <c r="H100" s="191" t="s">
        <v>54</v>
      </c>
      <c r="I100" s="247"/>
    </row>
    <row r="101" spans="2:9" x14ac:dyDescent="0.25">
      <c r="B101" s="414"/>
      <c r="C101" s="25" t="s">
        <v>439</v>
      </c>
      <c r="D101" s="25" t="s">
        <v>618</v>
      </c>
      <c r="E101" s="25" t="s">
        <v>107</v>
      </c>
      <c r="F101" s="25" t="s">
        <v>79</v>
      </c>
      <c r="G101" s="136" t="s">
        <v>623</v>
      </c>
      <c r="H101" s="191" t="s">
        <v>54</v>
      </c>
      <c r="I101" s="247"/>
    </row>
    <row r="102" spans="2:9" x14ac:dyDescent="0.25">
      <c r="B102" s="414"/>
      <c r="C102" s="25" t="s">
        <v>709</v>
      </c>
      <c r="D102" s="25" t="s">
        <v>618</v>
      </c>
      <c r="E102" s="25" t="s">
        <v>107</v>
      </c>
      <c r="F102" s="25" t="s">
        <v>79</v>
      </c>
      <c r="G102" s="136" t="s">
        <v>623</v>
      </c>
      <c r="H102" s="191" t="s">
        <v>54</v>
      </c>
      <c r="I102" s="247"/>
    </row>
    <row r="103" spans="2:9" x14ac:dyDescent="0.25">
      <c r="B103" s="414"/>
      <c r="C103" s="25" t="s">
        <v>709</v>
      </c>
      <c r="D103" s="25" t="s">
        <v>619</v>
      </c>
      <c r="E103" s="25" t="s">
        <v>92</v>
      </c>
      <c r="F103" s="25" t="s">
        <v>58</v>
      </c>
      <c r="G103" s="134" t="s">
        <v>620</v>
      </c>
      <c r="H103" s="191" t="s">
        <v>54</v>
      </c>
      <c r="I103" s="247"/>
    </row>
    <row r="104" spans="2:9" x14ac:dyDescent="0.25">
      <c r="B104" s="414"/>
      <c r="C104" s="25" t="s">
        <v>715</v>
      </c>
      <c r="D104" s="25" t="s">
        <v>619</v>
      </c>
      <c r="E104" s="25" t="s">
        <v>92</v>
      </c>
      <c r="F104" s="25" t="s">
        <v>58</v>
      </c>
      <c r="G104" s="134" t="s">
        <v>620</v>
      </c>
      <c r="H104" s="191" t="s">
        <v>54</v>
      </c>
      <c r="I104" s="247"/>
    </row>
    <row r="105" spans="2:9" x14ac:dyDescent="0.25">
      <c r="B105" s="414"/>
      <c r="C105" s="25" t="s">
        <v>439</v>
      </c>
      <c r="D105" s="25" t="s">
        <v>619</v>
      </c>
      <c r="E105" s="25" t="s">
        <v>92</v>
      </c>
      <c r="F105" s="25" t="s">
        <v>58</v>
      </c>
      <c r="G105" s="134" t="s">
        <v>620</v>
      </c>
      <c r="H105" s="191" t="s">
        <v>54</v>
      </c>
      <c r="I105" s="247"/>
    </row>
    <row r="106" spans="2:9" x14ac:dyDescent="0.25">
      <c r="B106" s="414"/>
      <c r="C106" s="25" t="s">
        <v>320</v>
      </c>
      <c r="D106" s="25" t="s">
        <v>619</v>
      </c>
      <c r="E106" s="25" t="s">
        <v>93</v>
      </c>
      <c r="F106" s="25" t="s">
        <v>76</v>
      </c>
      <c r="G106" s="136" t="s">
        <v>85</v>
      </c>
      <c r="H106" s="191" t="s">
        <v>55</v>
      </c>
      <c r="I106" s="247"/>
    </row>
    <row r="107" spans="2:9" x14ac:dyDescent="0.25">
      <c r="B107" s="414"/>
      <c r="C107" s="25" t="s">
        <v>713</v>
      </c>
      <c r="D107" s="25" t="s">
        <v>619</v>
      </c>
      <c r="E107" s="25" t="s">
        <v>93</v>
      </c>
      <c r="F107" s="25" t="s">
        <v>76</v>
      </c>
      <c r="G107" s="136" t="s">
        <v>85</v>
      </c>
      <c r="H107" s="191" t="s">
        <v>55</v>
      </c>
      <c r="I107" s="247"/>
    </row>
    <row r="108" spans="2:9" x14ac:dyDescent="0.25">
      <c r="B108" s="414"/>
      <c r="C108" s="25" t="s">
        <v>709</v>
      </c>
      <c r="D108" s="25" t="s">
        <v>619</v>
      </c>
      <c r="E108" s="25" t="s">
        <v>93</v>
      </c>
      <c r="F108" s="25" t="s">
        <v>76</v>
      </c>
      <c r="G108" s="136" t="s">
        <v>85</v>
      </c>
      <c r="H108" s="191" t="s">
        <v>55</v>
      </c>
      <c r="I108" s="247"/>
    </row>
    <row r="109" spans="2:9" x14ac:dyDescent="0.25">
      <c r="B109" s="414"/>
      <c r="C109" s="25" t="s">
        <v>315</v>
      </c>
      <c r="D109" s="25" t="s">
        <v>619</v>
      </c>
      <c r="E109" s="25" t="s">
        <v>94</v>
      </c>
      <c r="F109" s="25" t="s">
        <v>406</v>
      </c>
      <c r="G109" s="135" t="s">
        <v>59</v>
      </c>
      <c r="H109" s="191" t="s">
        <v>54</v>
      </c>
      <c r="I109" s="247"/>
    </row>
    <row r="110" spans="2:9" x14ac:dyDescent="0.25">
      <c r="B110" s="414"/>
      <c r="C110" s="25" t="s">
        <v>439</v>
      </c>
      <c r="D110" s="25" t="s">
        <v>619</v>
      </c>
      <c r="E110" s="25" t="s">
        <v>95</v>
      </c>
      <c r="F110" s="25" t="s">
        <v>131</v>
      </c>
      <c r="G110" s="134" t="s">
        <v>66</v>
      </c>
      <c r="H110" s="191" t="s">
        <v>55</v>
      </c>
      <c r="I110" s="247"/>
    </row>
    <row r="111" spans="2:9" x14ac:dyDescent="0.25">
      <c r="B111" s="414"/>
      <c r="C111" s="25" t="s">
        <v>713</v>
      </c>
      <c r="D111" s="25" t="s">
        <v>619</v>
      </c>
      <c r="E111" s="25" t="s">
        <v>100</v>
      </c>
      <c r="F111" s="25" t="s">
        <v>77</v>
      </c>
      <c r="G111" s="135" t="s">
        <v>65</v>
      </c>
      <c r="H111" s="191" t="s">
        <v>55</v>
      </c>
      <c r="I111" s="247"/>
    </row>
    <row r="112" spans="2:9" x14ac:dyDescent="0.25">
      <c r="B112" s="414"/>
      <c r="C112" s="25" t="s">
        <v>709</v>
      </c>
      <c r="D112" s="25" t="s">
        <v>619</v>
      </c>
      <c r="E112" s="25" t="s">
        <v>100</v>
      </c>
      <c r="F112" s="25" t="s">
        <v>77</v>
      </c>
      <c r="G112" s="135" t="s">
        <v>65</v>
      </c>
      <c r="H112" s="191" t="s">
        <v>55</v>
      </c>
      <c r="I112" s="247"/>
    </row>
    <row r="113" spans="2:9" x14ac:dyDescent="0.25">
      <c r="B113" s="414"/>
      <c r="C113" s="25" t="s">
        <v>709</v>
      </c>
      <c r="D113" s="25" t="s">
        <v>619</v>
      </c>
      <c r="E113" s="25" t="s">
        <v>97</v>
      </c>
      <c r="F113" s="25" t="s">
        <v>72</v>
      </c>
      <c r="G113" s="136" t="s">
        <v>61</v>
      </c>
      <c r="H113" s="191" t="s">
        <v>54</v>
      </c>
      <c r="I113" s="247"/>
    </row>
    <row r="114" spans="2:9" x14ac:dyDescent="0.25">
      <c r="B114" s="414"/>
      <c r="C114" s="25" t="s">
        <v>711</v>
      </c>
      <c r="D114" s="25" t="s">
        <v>619</v>
      </c>
      <c r="E114" s="25" t="s">
        <v>99</v>
      </c>
      <c r="F114" s="25" t="s">
        <v>80</v>
      </c>
      <c r="G114" s="136" t="s">
        <v>56</v>
      </c>
      <c r="H114" s="191" t="s">
        <v>54</v>
      </c>
      <c r="I114" s="247"/>
    </row>
    <row r="115" spans="2:9" x14ac:dyDescent="0.25">
      <c r="B115" s="414"/>
      <c r="C115" s="25" t="s">
        <v>320</v>
      </c>
      <c r="D115" s="25" t="s">
        <v>619</v>
      </c>
      <c r="E115" s="25" t="s">
        <v>99</v>
      </c>
      <c r="F115" s="25" t="s">
        <v>80</v>
      </c>
      <c r="G115" s="136" t="s">
        <v>56</v>
      </c>
      <c r="H115" s="191" t="s">
        <v>54</v>
      </c>
      <c r="I115" s="247"/>
    </row>
    <row r="116" spans="2:9" x14ac:dyDescent="0.25">
      <c r="B116" s="414"/>
      <c r="C116" s="25" t="s">
        <v>320</v>
      </c>
      <c r="D116" s="25" t="s">
        <v>619</v>
      </c>
      <c r="E116" s="25" t="s">
        <v>101</v>
      </c>
      <c r="F116" s="25" t="s">
        <v>62</v>
      </c>
      <c r="G116" s="134" t="s">
        <v>624</v>
      </c>
      <c r="H116" s="191" t="s">
        <v>55</v>
      </c>
      <c r="I116" s="247"/>
    </row>
    <row r="117" spans="2:9" x14ac:dyDescent="0.25">
      <c r="B117" s="414"/>
      <c r="C117" s="25" t="s">
        <v>437</v>
      </c>
      <c r="D117" s="25" t="s">
        <v>619</v>
      </c>
      <c r="E117" s="25" t="s">
        <v>101</v>
      </c>
      <c r="F117" s="25" t="s">
        <v>62</v>
      </c>
      <c r="G117" s="134" t="s">
        <v>624</v>
      </c>
      <c r="H117" s="191" t="s">
        <v>55</v>
      </c>
      <c r="I117" s="247"/>
    </row>
    <row r="118" spans="2:9" x14ac:dyDescent="0.25">
      <c r="B118" s="414"/>
      <c r="C118" s="25" t="s">
        <v>711</v>
      </c>
      <c r="D118" s="25" t="s">
        <v>619</v>
      </c>
      <c r="E118" s="25" t="s">
        <v>101</v>
      </c>
      <c r="F118" s="25" t="s">
        <v>62</v>
      </c>
      <c r="G118" s="134" t="s">
        <v>624</v>
      </c>
      <c r="H118" s="191" t="s">
        <v>55</v>
      </c>
      <c r="I118" s="247"/>
    </row>
    <row r="119" spans="2:9" x14ac:dyDescent="0.25">
      <c r="B119" s="414"/>
      <c r="C119" s="25" t="s">
        <v>716</v>
      </c>
      <c r="D119" s="25" t="s">
        <v>619</v>
      </c>
      <c r="E119" s="25" t="s">
        <v>101</v>
      </c>
      <c r="F119" s="25" t="s">
        <v>62</v>
      </c>
      <c r="G119" s="134" t="s">
        <v>624</v>
      </c>
      <c r="H119" s="191" t="s">
        <v>55</v>
      </c>
      <c r="I119" s="247"/>
    </row>
    <row r="120" spans="2:9" x14ac:dyDescent="0.25">
      <c r="B120" s="414"/>
      <c r="C120" s="25" t="s">
        <v>712</v>
      </c>
      <c r="D120" s="25" t="s">
        <v>619</v>
      </c>
      <c r="E120" s="25" t="s">
        <v>103</v>
      </c>
      <c r="F120" s="25" t="s">
        <v>57</v>
      </c>
      <c r="G120" s="134" t="s">
        <v>86</v>
      </c>
      <c r="H120" s="191" t="s">
        <v>55</v>
      </c>
      <c r="I120" s="247"/>
    </row>
    <row r="121" spans="2:9" x14ac:dyDescent="0.25">
      <c r="B121" s="414"/>
      <c r="C121" s="25" t="s">
        <v>713</v>
      </c>
      <c r="D121" s="25" t="s">
        <v>619</v>
      </c>
      <c r="E121" s="25" t="s">
        <v>103</v>
      </c>
      <c r="F121" s="25" t="s">
        <v>57</v>
      </c>
      <c r="G121" s="134" t="s">
        <v>86</v>
      </c>
      <c r="H121" s="191" t="s">
        <v>55</v>
      </c>
      <c r="I121" s="247"/>
    </row>
    <row r="122" spans="2:9" x14ac:dyDescent="0.25">
      <c r="B122" s="414"/>
      <c r="C122" s="25" t="s">
        <v>494</v>
      </c>
      <c r="D122" s="25" t="s">
        <v>619</v>
      </c>
      <c r="E122" s="25" t="s">
        <v>104</v>
      </c>
      <c r="F122" s="25" t="s">
        <v>71</v>
      </c>
      <c r="G122" s="134" t="s">
        <v>66</v>
      </c>
      <c r="H122" s="191" t="s">
        <v>54</v>
      </c>
      <c r="I122" s="247"/>
    </row>
    <row r="123" spans="2:9" x14ac:dyDescent="0.25">
      <c r="B123" s="414"/>
      <c r="C123" s="25" t="s">
        <v>709</v>
      </c>
      <c r="D123" s="25" t="s">
        <v>619</v>
      </c>
      <c r="E123" s="25" t="s">
        <v>105</v>
      </c>
      <c r="F123" s="25" t="s">
        <v>130</v>
      </c>
      <c r="G123" s="136" t="s">
        <v>623</v>
      </c>
      <c r="H123" s="191" t="s">
        <v>55</v>
      </c>
      <c r="I123" s="247"/>
    </row>
    <row r="124" spans="2:9" x14ac:dyDescent="0.25">
      <c r="B124" s="414"/>
      <c r="C124" s="25" t="s">
        <v>709</v>
      </c>
      <c r="D124" s="25" t="s">
        <v>619</v>
      </c>
      <c r="E124" s="25" t="s">
        <v>105</v>
      </c>
      <c r="F124" s="25" t="s">
        <v>130</v>
      </c>
      <c r="G124" s="136" t="s">
        <v>623</v>
      </c>
      <c r="H124" s="191" t="s">
        <v>55</v>
      </c>
      <c r="I124" s="247"/>
    </row>
    <row r="125" spans="2:9" x14ac:dyDescent="0.25">
      <c r="B125" s="414"/>
      <c r="C125" s="25" t="s">
        <v>712</v>
      </c>
      <c r="D125" s="25" t="s">
        <v>619</v>
      </c>
      <c r="E125" s="25" t="s">
        <v>105</v>
      </c>
      <c r="F125" s="25" t="s">
        <v>130</v>
      </c>
      <c r="G125" s="136" t="s">
        <v>623</v>
      </c>
      <c r="H125" s="191" t="s">
        <v>55</v>
      </c>
      <c r="I125" s="247"/>
    </row>
    <row r="126" spans="2:9" x14ac:dyDescent="0.25">
      <c r="B126" s="414"/>
      <c r="C126" s="25" t="s">
        <v>441</v>
      </c>
      <c r="D126" s="25" t="s">
        <v>619</v>
      </c>
      <c r="E126" s="25" t="s">
        <v>106</v>
      </c>
      <c r="F126" s="25" t="s">
        <v>70</v>
      </c>
      <c r="G126" s="134" t="s">
        <v>66</v>
      </c>
      <c r="H126" s="191" t="s">
        <v>54</v>
      </c>
      <c r="I126" s="247"/>
    </row>
    <row r="127" spans="2:9" x14ac:dyDescent="0.25">
      <c r="B127" s="414"/>
      <c r="C127" s="25" t="s">
        <v>441</v>
      </c>
      <c r="D127" s="25" t="s">
        <v>619</v>
      </c>
      <c r="E127" s="25" t="s">
        <v>107</v>
      </c>
      <c r="F127" s="25" t="s">
        <v>79</v>
      </c>
      <c r="G127" s="135" t="s">
        <v>59</v>
      </c>
      <c r="H127" s="191" t="s">
        <v>55</v>
      </c>
      <c r="I127" s="247"/>
    </row>
    <row r="128" spans="2:9" ht="15.75" thickBot="1" x14ac:dyDescent="0.3">
      <c r="B128" s="414"/>
      <c r="C128" s="23" t="s">
        <v>441</v>
      </c>
      <c r="D128" s="23" t="s">
        <v>619</v>
      </c>
      <c r="E128" s="23" t="s">
        <v>108</v>
      </c>
      <c r="F128" s="23" t="s">
        <v>82</v>
      </c>
      <c r="G128" s="137" t="s">
        <v>161</v>
      </c>
      <c r="H128" s="257" t="s">
        <v>54</v>
      </c>
      <c r="I128" s="247"/>
    </row>
    <row r="129" spans="2:9" x14ac:dyDescent="0.25">
      <c r="B129" s="414"/>
      <c r="C129" s="22" t="s">
        <v>320</v>
      </c>
      <c r="D129" s="25" t="s">
        <v>407</v>
      </c>
      <c r="E129" s="22" t="s">
        <v>91</v>
      </c>
      <c r="F129" s="42" t="s">
        <v>79</v>
      </c>
      <c r="G129" s="138" t="s">
        <v>61</v>
      </c>
      <c r="H129" s="157" t="s">
        <v>55</v>
      </c>
      <c r="I129" s="247"/>
    </row>
    <row r="130" spans="2:9" x14ac:dyDescent="0.25">
      <c r="B130" s="414"/>
      <c r="C130" s="25" t="s">
        <v>436</v>
      </c>
      <c r="D130" s="25" t="s">
        <v>407</v>
      </c>
      <c r="E130" s="25" t="s">
        <v>92</v>
      </c>
      <c r="F130" s="40" t="s">
        <v>130</v>
      </c>
      <c r="G130" s="139" t="s">
        <v>86</v>
      </c>
      <c r="H130" s="191" t="s">
        <v>54</v>
      </c>
      <c r="I130" s="247"/>
    </row>
    <row r="131" spans="2:9" x14ac:dyDescent="0.25">
      <c r="B131" s="414"/>
      <c r="C131" s="25" t="s">
        <v>320</v>
      </c>
      <c r="D131" s="25" t="s">
        <v>407</v>
      </c>
      <c r="E131" s="25" t="s">
        <v>92</v>
      </c>
      <c r="F131" s="40" t="s">
        <v>130</v>
      </c>
      <c r="G131" s="139" t="s">
        <v>86</v>
      </c>
      <c r="H131" s="191" t="s">
        <v>54</v>
      </c>
      <c r="I131" s="247"/>
    </row>
    <row r="132" spans="2:9" x14ac:dyDescent="0.25">
      <c r="B132" s="414"/>
      <c r="C132" s="25" t="s">
        <v>435</v>
      </c>
      <c r="D132" s="25" t="s">
        <v>407</v>
      </c>
      <c r="E132" s="25" t="s">
        <v>95</v>
      </c>
      <c r="F132" s="25" t="s">
        <v>82</v>
      </c>
      <c r="G132" s="138" t="s">
        <v>64</v>
      </c>
      <c r="H132" s="191" t="s">
        <v>55</v>
      </c>
      <c r="I132" s="247"/>
    </row>
    <row r="133" spans="2:9" x14ac:dyDescent="0.25">
      <c r="B133" s="414"/>
      <c r="C133" s="25" t="s">
        <v>326</v>
      </c>
      <c r="D133" s="25" t="s">
        <v>407</v>
      </c>
      <c r="E133" s="25" t="s">
        <v>95</v>
      </c>
      <c r="F133" s="25" t="s">
        <v>82</v>
      </c>
      <c r="G133" s="138" t="s">
        <v>64</v>
      </c>
      <c r="H133" s="191" t="s">
        <v>55</v>
      </c>
      <c r="I133" s="247"/>
    </row>
    <row r="134" spans="2:9" x14ac:dyDescent="0.25">
      <c r="B134" s="414"/>
      <c r="C134" s="25" t="s">
        <v>434</v>
      </c>
      <c r="D134" s="25" t="s">
        <v>407</v>
      </c>
      <c r="E134" s="25" t="s">
        <v>100</v>
      </c>
      <c r="F134" s="25" t="s">
        <v>73</v>
      </c>
      <c r="G134" s="140" t="s">
        <v>65</v>
      </c>
      <c r="H134" s="191" t="s">
        <v>55</v>
      </c>
      <c r="I134" s="247"/>
    </row>
    <row r="135" spans="2:9" x14ac:dyDescent="0.25">
      <c r="B135" s="414"/>
      <c r="C135" s="25" t="s">
        <v>326</v>
      </c>
      <c r="D135" s="25" t="s">
        <v>407</v>
      </c>
      <c r="E135" s="25" t="s">
        <v>100</v>
      </c>
      <c r="F135" s="25" t="s">
        <v>73</v>
      </c>
      <c r="G135" s="140" t="s">
        <v>65</v>
      </c>
      <c r="H135" s="191" t="s">
        <v>55</v>
      </c>
      <c r="I135" s="247"/>
    </row>
    <row r="136" spans="2:9" x14ac:dyDescent="0.25">
      <c r="B136" s="414"/>
      <c r="C136" s="25" t="s">
        <v>438</v>
      </c>
      <c r="D136" s="25" t="s">
        <v>407</v>
      </c>
      <c r="E136" s="25" t="s">
        <v>97</v>
      </c>
      <c r="F136" s="25" t="s">
        <v>69</v>
      </c>
      <c r="G136" s="140" t="s">
        <v>161</v>
      </c>
      <c r="H136" s="191" t="s">
        <v>54</v>
      </c>
      <c r="I136" s="247"/>
    </row>
    <row r="137" spans="2:9" x14ac:dyDescent="0.25">
      <c r="B137" s="414"/>
      <c r="C137" s="25" t="s">
        <v>494</v>
      </c>
      <c r="D137" s="25" t="s">
        <v>407</v>
      </c>
      <c r="E137" s="25" t="s">
        <v>99</v>
      </c>
      <c r="F137" s="25" t="s">
        <v>62</v>
      </c>
      <c r="G137" s="140" t="s">
        <v>59</v>
      </c>
      <c r="H137" s="191" t="s">
        <v>54</v>
      </c>
      <c r="I137" s="247"/>
    </row>
    <row r="138" spans="2:9" x14ac:dyDescent="0.25">
      <c r="B138" s="414"/>
      <c r="C138" s="25" t="s">
        <v>326</v>
      </c>
      <c r="D138" s="25" t="s">
        <v>407</v>
      </c>
      <c r="E138" s="25" t="s">
        <v>102</v>
      </c>
      <c r="F138" s="25" t="s">
        <v>57</v>
      </c>
      <c r="G138" s="140" t="s">
        <v>65</v>
      </c>
      <c r="H138" s="191" t="s">
        <v>54</v>
      </c>
      <c r="I138" s="247"/>
    </row>
    <row r="139" spans="2:9" x14ac:dyDescent="0.25">
      <c r="B139" s="414"/>
      <c r="C139" s="25" t="s">
        <v>320</v>
      </c>
      <c r="D139" s="25" t="s">
        <v>407</v>
      </c>
      <c r="E139" s="25" t="s">
        <v>102</v>
      </c>
      <c r="F139" s="25" t="s">
        <v>57</v>
      </c>
      <c r="G139" s="140" t="s">
        <v>65</v>
      </c>
      <c r="H139" s="191" t="s">
        <v>54</v>
      </c>
      <c r="I139" s="247"/>
    </row>
    <row r="140" spans="2:9" x14ac:dyDescent="0.25">
      <c r="B140" s="414"/>
      <c r="C140" s="25" t="s">
        <v>439</v>
      </c>
      <c r="D140" s="25" t="s">
        <v>407</v>
      </c>
      <c r="E140" s="25" t="s">
        <v>104</v>
      </c>
      <c r="F140" s="25" t="s">
        <v>74</v>
      </c>
      <c r="G140" s="138" t="s">
        <v>61</v>
      </c>
      <c r="H140" s="191" t="s">
        <v>54</v>
      </c>
      <c r="I140" s="247"/>
    </row>
    <row r="141" spans="2:9" x14ac:dyDescent="0.25">
      <c r="B141" s="414"/>
      <c r="C141" s="25" t="s">
        <v>326</v>
      </c>
      <c r="D141" s="25" t="s">
        <v>407</v>
      </c>
      <c r="E141" s="25" t="s">
        <v>105</v>
      </c>
      <c r="F141" s="25" t="s">
        <v>406</v>
      </c>
      <c r="G141" s="138" t="s">
        <v>56</v>
      </c>
      <c r="H141" s="191" t="s">
        <v>55</v>
      </c>
      <c r="I141" s="247"/>
    </row>
    <row r="142" spans="2:9" x14ac:dyDescent="0.25">
      <c r="B142" s="414"/>
      <c r="C142" s="25" t="s">
        <v>440</v>
      </c>
      <c r="D142" s="25" t="s">
        <v>407</v>
      </c>
      <c r="E142" s="25" t="s">
        <v>105</v>
      </c>
      <c r="F142" s="25" t="s">
        <v>406</v>
      </c>
      <c r="G142" s="138" t="s">
        <v>56</v>
      </c>
      <c r="H142" s="191" t="s">
        <v>55</v>
      </c>
      <c r="I142" s="247"/>
    </row>
    <row r="143" spans="2:9" x14ac:dyDescent="0.25">
      <c r="B143" s="414"/>
      <c r="C143" s="25" t="s">
        <v>441</v>
      </c>
      <c r="D143" s="25" t="s">
        <v>407</v>
      </c>
      <c r="E143" s="25" t="s">
        <v>107</v>
      </c>
      <c r="F143" s="25" t="s">
        <v>80</v>
      </c>
      <c r="G143" s="138" t="s">
        <v>61</v>
      </c>
      <c r="H143" s="191" t="s">
        <v>55</v>
      </c>
      <c r="I143" s="247"/>
    </row>
    <row r="144" spans="2:9" x14ac:dyDescent="0.25">
      <c r="B144" s="414"/>
      <c r="C144" s="25" t="s">
        <v>438</v>
      </c>
      <c r="D144" s="25" t="s">
        <v>408</v>
      </c>
      <c r="E144" s="25" t="s">
        <v>91</v>
      </c>
      <c r="F144" s="25" t="s">
        <v>79</v>
      </c>
      <c r="G144" s="140" t="s">
        <v>161</v>
      </c>
      <c r="H144" s="191" t="s">
        <v>54</v>
      </c>
      <c r="I144" s="247"/>
    </row>
    <row r="145" spans="2:9" x14ac:dyDescent="0.25">
      <c r="B145" s="414"/>
      <c r="C145" s="25" t="s">
        <v>310</v>
      </c>
      <c r="D145" s="25" t="s">
        <v>408</v>
      </c>
      <c r="E145" s="25" t="s">
        <v>92</v>
      </c>
      <c r="F145" s="40" t="s">
        <v>130</v>
      </c>
      <c r="G145" s="139" t="s">
        <v>66</v>
      </c>
      <c r="H145" s="191" t="s">
        <v>55</v>
      </c>
      <c r="I145" s="247"/>
    </row>
    <row r="146" spans="2:9" x14ac:dyDescent="0.25">
      <c r="B146" s="414"/>
      <c r="C146" s="25" t="s">
        <v>310</v>
      </c>
      <c r="D146" s="25" t="s">
        <v>408</v>
      </c>
      <c r="E146" s="25" t="s">
        <v>94</v>
      </c>
      <c r="F146" s="40" t="s">
        <v>70</v>
      </c>
      <c r="G146" s="138" t="s">
        <v>56</v>
      </c>
      <c r="H146" s="191" t="s">
        <v>55</v>
      </c>
      <c r="I146" s="247"/>
    </row>
    <row r="147" spans="2:9" x14ac:dyDescent="0.25">
      <c r="B147" s="414"/>
      <c r="C147" s="25" t="s">
        <v>441</v>
      </c>
      <c r="D147" s="25" t="s">
        <v>408</v>
      </c>
      <c r="E147" s="25" t="s">
        <v>94</v>
      </c>
      <c r="F147" s="40" t="s">
        <v>70</v>
      </c>
      <c r="G147" s="138" t="s">
        <v>56</v>
      </c>
      <c r="H147" s="191" t="s">
        <v>55</v>
      </c>
      <c r="I147" s="247"/>
    </row>
    <row r="148" spans="2:9" x14ac:dyDescent="0.25">
      <c r="B148" s="414"/>
      <c r="C148" s="25" t="s">
        <v>441</v>
      </c>
      <c r="D148" s="25" t="s">
        <v>408</v>
      </c>
      <c r="E148" s="25" t="s">
        <v>95</v>
      </c>
      <c r="F148" s="25" t="s">
        <v>82</v>
      </c>
      <c r="G148" s="140" t="s">
        <v>59</v>
      </c>
      <c r="H148" s="191" t="s">
        <v>54</v>
      </c>
      <c r="I148" s="247"/>
    </row>
    <row r="149" spans="2:9" x14ac:dyDescent="0.25">
      <c r="B149" s="414"/>
      <c r="C149" s="25" t="s">
        <v>442</v>
      </c>
      <c r="D149" s="25" t="s">
        <v>408</v>
      </c>
      <c r="E149" s="25" t="s">
        <v>97</v>
      </c>
      <c r="F149" s="25" t="s">
        <v>69</v>
      </c>
      <c r="G149" s="140" t="s">
        <v>59</v>
      </c>
      <c r="H149" s="191" t="s">
        <v>55</v>
      </c>
      <c r="I149" s="247"/>
    </row>
    <row r="150" spans="2:9" x14ac:dyDescent="0.25">
      <c r="B150" s="414"/>
      <c r="C150" s="25" t="s">
        <v>435</v>
      </c>
      <c r="D150" s="25" t="s">
        <v>408</v>
      </c>
      <c r="E150" s="25" t="s">
        <v>98</v>
      </c>
      <c r="F150" s="25" t="s">
        <v>78</v>
      </c>
      <c r="G150" s="140" t="s">
        <v>59</v>
      </c>
      <c r="H150" s="191" t="s">
        <v>54</v>
      </c>
      <c r="I150" s="247"/>
    </row>
    <row r="151" spans="2:9" x14ac:dyDescent="0.25">
      <c r="B151" s="414"/>
      <c r="C151" s="25" t="s">
        <v>437</v>
      </c>
      <c r="D151" s="25" t="s">
        <v>408</v>
      </c>
      <c r="E151" s="25" t="s">
        <v>105</v>
      </c>
      <c r="F151" s="25" t="s">
        <v>406</v>
      </c>
      <c r="G151" s="140" t="s">
        <v>409</v>
      </c>
      <c r="H151" s="191" t="s">
        <v>54</v>
      </c>
      <c r="I151" s="247"/>
    </row>
    <row r="152" spans="2:9" x14ac:dyDescent="0.25">
      <c r="B152" s="414"/>
      <c r="C152" s="25" t="s">
        <v>326</v>
      </c>
      <c r="D152" s="25" t="s">
        <v>408</v>
      </c>
      <c r="E152" s="25" t="s">
        <v>106</v>
      </c>
      <c r="F152" s="25" t="s">
        <v>58</v>
      </c>
      <c r="G152" s="138" t="s">
        <v>64</v>
      </c>
      <c r="H152" s="191" t="s">
        <v>55</v>
      </c>
      <c r="I152" s="247"/>
    </row>
    <row r="153" spans="2:9" x14ac:dyDescent="0.25">
      <c r="B153" s="414"/>
      <c r="C153" s="25" t="s">
        <v>440</v>
      </c>
      <c r="D153" s="25" t="s">
        <v>408</v>
      </c>
      <c r="E153" s="25" t="s">
        <v>106</v>
      </c>
      <c r="F153" s="25" t="s">
        <v>58</v>
      </c>
      <c r="G153" s="138" t="s">
        <v>64</v>
      </c>
      <c r="H153" s="191" t="s">
        <v>55</v>
      </c>
      <c r="I153" s="247"/>
    </row>
    <row r="154" spans="2:9" x14ac:dyDescent="0.25">
      <c r="B154" s="414"/>
      <c r="C154" s="25" t="s">
        <v>442</v>
      </c>
      <c r="D154" s="25" t="s">
        <v>408</v>
      </c>
      <c r="E154" s="25" t="s">
        <v>107</v>
      </c>
      <c r="F154" s="25" t="s">
        <v>80</v>
      </c>
      <c r="G154" s="138" t="s">
        <v>56</v>
      </c>
      <c r="H154" s="191" t="s">
        <v>54</v>
      </c>
      <c r="I154" s="247"/>
    </row>
    <row r="155" spans="2:9" x14ac:dyDescent="0.25">
      <c r="B155" s="414"/>
      <c r="C155" s="25" t="s">
        <v>440</v>
      </c>
      <c r="D155" s="25" t="s">
        <v>408</v>
      </c>
      <c r="E155" s="25" t="s">
        <v>107</v>
      </c>
      <c r="F155" s="25" t="s">
        <v>80</v>
      </c>
      <c r="G155" s="138" t="s">
        <v>56</v>
      </c>
      <c r="H155" s="191" t="s">
        <v>54</v>
      </c>
      <c r="I155" s="247"/>
    </row>
    <row r="156" spans="2:9" ht="15.75" thickBot="1" x14ac:dyDescent="0.3">
      <c r="B156" s="414"/>
      <c r="C156" s="23" t="s">
        <v>326</v>
      </c>
      <c r="D156" s="23" t="s">
        <v>408</v>
      </c>
      <c r="E156" s="23" t="s">
        <v>108</v>
      </c>
      <c r="F156" s="23" t="s">
        <v>83</v>
      </c>
      <c r="G156" s="141" t="s">
        <v>66</v>
      </c>
      <c r="H156" s="257" t="s">
        <v>55</v>
      </c>
      <c r="I156" s="247"/>
    </row>
    <row r="157" spans="2:9" x14ac:dyDescent="0.25">
      <c r="B157" s="414"/>
      <c r="C157" s="40" t="s">
        <v>307</v>
      </c>
      <c r="D157" s="40">
        <v>2023</v>
      </c>
      <c r="E157" s="25" t="s">
        <v>92</v>
      </c>
      <c r="F157" s="40" t="s">
        <v>58</v>
      </c>
      <c r="G157" s="138" t="s">
        <v>56</v>
      </c>
      <c r="H157" s="191" t="s">
        <v>55</v>
      </c>
      <c r="I157" s="247"/>
    </row>
    <row r="158" spans="2:9" x14ac:dyDescent="0.25">
      <c r="B158" s="414"/>
      <c r="C158" s="40" t="s">
        <v>310</v>
      </c>
      <c r="D158" s="40">
        <v>2023</v>
      </c>
      <c r="E158" s="25" t="s">
        <v>92</v>
      </c>
      <c r="F158" s="40" t="s">
        <v>58</v>
      </c>
      <c r="G158" s="138" t="s">
        <v>56</v>
      </c>
      <c r="H158" s="191" t="s">
        <v>55</v>
      </c>
      <c r="I158" s="247"/>
    </row>
    <row r="159" spans="2:9" x14ac:dyDescent="0.25">
      <c r="B159" s="414"/>
      <c r="C159" s="40" t="s">
        <v>323</v>
      </c>
      <c r="D159" s="40">
        <v>2023</v>
      </c>
      <c r="E159" s="25" t="s">
        <v>93</v>
      </c>
      <c r="F159" s="40" t="s">
        <v>70</v>
      </c>
      <c r="G159" s="140" t="s">
        <v>59</v>
      </c>
      <c r="H159" s="191" t="s">
        <v>54</v>
      </c>
      <c r="I159" s="247"/>
    </row>
    <row r="160" spans="2:9" x14ac:dyDescent="0.25">
      <c r="B160" s="414"/>
      <c r="C160" s="40" t="s">
        <v>304</v>
      </c>
      <c r="D160" s="40">
        <v>2023</v>
      </c>
      <c r="E160" s="25" t="s">
        <v>96</v>
      </c>
      <c r="F160" s="40" t="s">
        <v>73</v>
      </c>
      <c r="G160" s="140" t="s">
        <v>59</v>
      </c>
      <c r="H160" s="191" t="s">
        <v>55</v>
      </c>
      <c r="I160" s="247"/>
    </row>
    <row r="161" spans="2:9" x14ac:dyDescent="0.25">
      <c r="B161" s="414"/>
      <c r="C161" s="40" t="s">
        <v>326</v>
      </c>
      <c r="D161" s="40">
        <v>2023</v>
      </c>
      <c r="E161" s="25" t="s">
        <v>100</v>
      </c>
      <c r="F161" s="40" t="s">
        <v>74</v>
      </c>
      <c r="G161" s="138" t="s">
        <v>61</v>
      </c>
      <c r="H161" s="191" t="s">
        <v>54</v>
      </c>
      <c r="I161" s="247"/>
    </row>
    <row r="162" spans="2:9" x14ac:dyDescent="0.25">
      <c r="B162" s="414"/>
      <c r="C162" s="40" t="s">
        <v>309</v>
      </c>
      <c r="D162" s="40">
        <v>2023</v>
      </c>
      <c r="E162" s="25" t="s">
        <v>99</v>
      </c>
      <c r="F162" s="40" t="s">
        <v>76</v>
      </c>
      <c r="G162" s="138" t="s">
        <v>64</v>
      </c>
      <c r="H162" s="191" t="s">
        <v>55</v>
      </c>
      <c r="I162" s="247"/>
    </row>
    <row r="163" spans="2:9" x14ac:dyDescent="0.25">
      <c r="B163" s="414"/>
      <c r="C163" s="40" t="s">
        <v>307</v>
      </c>
      <c r="D163" s="40">
        <v>2023</v>
      </c>
      <c r="E163" s="25" t="s">
        <v>99</v>
      </c>
      <c r="F163" s="40" t="s">
        <v>76</v>
      </c>
      <c r="G163" s="138" t="s">
        <v>64</v>
      </c>
      <c r="H163" s="191" t="s">
        <v>55</v>
      </c>
      <c r="I163" s="247"/>
    </row>
    <row r="164" spans="2:9" x14ac:dyDescent="0.25">
      <c r="B164" s="414"/>
      <c r="C164" s="40" t="s">
        <v>304</v>
      </c>
      <c r="D164" s="40">
        <v>2023</v>
      </c>
      <c r="E164" s="25" t="s">
        <v>101</v>
      </c>
      <c r="F164" s="40" t="s">
        <v>77</v>
      </c>
      <c r="G164" s="140" t="s">
        <v>65</v>
      </c>
      <c r="H164" s="191" t="s">
        <v>54</v>
      </c>
      <c r="I164" s="247"/>
    </row>
    <row r="165" spans="2:9" x14ac:dyDescent="0.25">
      <c r="B165" s="414"/>
      <c r="C165" s="40" t="s">
        <v>310</v>
      </c>
      <c r="D165" s="40">
        <v>2023</v>
      </c>
      <c r="E165" s="25" t="s">
        <v>101</v>
      </c>
      <c r="F165" s="40" t="s">
        <v>77</v>
      </c>
      <c r="G165" s="140" t="s">
        <v>65</v>
      </c>
      <c r="H165" s="191" t="s">
        <v>54</v>
      </c>
      <c r="I165" s="247"/>
    </row>
    <row r="166" spans="2:9" x14ac:dyDescent="0.25">
      <c r="B166" s="414"/>
      <c r="C166" s="40" t="s">
        <v>317</v>
      </c>
      <c r="D166" s="40">
        <v>2023</v>
      </c>
      <c r="E166" s="25" t="s">
        <v>102</v>
      </c>
      <c r="F166" s="40" t="s">
        <v>78</v>
      </c>
      <c r="G166" s="139" t="s">
        <v>66</v>
      </c>
      <c r="H166" s="191" t="s">
        <v>55</v>
      </c>
      <c r="I166" s="247"/>
    </row>
    <row r="167" spans="2:9" x14ac:dyDescent="0.25">
      <c r="B167" s="414"/>
      <c r="C167" s="40" t="s">
        <v>317</v>
      </c>
      <c r="D167" s="40">
        <v>2023</v>
      </c>
      <c r="E167" s="25" t="s">
        <v>103</v>
      </c>
      <c r="F167" s="40" t="s">
        <v>79</v>
      </c>
      <c r="G167" s="140" t="s">
        <v>67</v>
      </c>
      <c r="H167" s="191" t="s">
        <v>54</v>
      </c>
      <c r="I167" s="247"/>
    </row>
    <row r="168" spans="2:9" x14ac:dyDescent="0.25">
      <c r="B168" s="414"/>
      <c r="C168" s="40" t="s">
        <v>320</v>
      </c>
      <c r="D168" s="40">
        <v>2023</v>
      </c>
      <c r="E168" s="25" t="s">
        <v>103</v>
      </c>
      <c r="F168" s="40" t="s">
        <v>79</v>
      </c>
      <c r="G168" s="140" t="s">
        <v>67</v>
      </c>
      <c r="H168" s="191" t="s">
        <v>54</v>
      </c>
      <c r="I168" s="247"/>
    </row>
    <row r="169" spans="2:9" x14ac:dyDescent="0.25">
      <c r="B169" s="414"/>
      <c r="C169" s="40" t="s">
        <v>324</v>
      </c>
      <c r="D169" s="40">
        <v>2023</v>
      </c>
      <c r="E169" s="25" t="s">
        <v>104</v>
      </c>
      <c r="F169" s="40" t="s">
        <v>80</v>
      </c>
      <c r="G169" s="139" t="s">
        <v>66</v>
      </c>
      <c r="H169" s="191" t="s">
        <v>55</v>
      </c>
      <c r="I169" s="247"/>
    </row>
    <row r="170" spans="2:9" x14ac:dyDescent="0.25">
      <c r="B170" s="414"/>
      <c r="C170" s="40" t="s">
        <v>304</v>
      </c>
      <c r="D170" s="40">
        <v>2023</v>
      </c>
      <c r="E170" s="25" t="s">
        <v>107</v>
      </c>
      <c r="F170" s="40" t="s">
        <v>69</v>
      </c>
      <c r="G170" s="140" t="s">
        <v>59</v>
      </c>
      <c r="H170" s="191" t="s">
        <v>54</v>
      </c>
      <c r="I170" s="247"/>
    </row>
    <row r="171" spans="2:9" x14ac:dyDescent="0.25">
      <c r="B171" s="414"/>
      <c r="C171" s="40" t="s">
        <v>310</v>
      </c>
      <c r="D171" s="40">
        <v>2023</v>
      </c>
      <c r="E171" s="25" t="s">
        <v>108</v>
      </c>
      <c r="F171" s="40" t="s">
        <v>83</v>
      </c>
      <c r="G171" s="139" t="s">
        <v>66</v>
      </c>
      <c r="H171" s="191" t="s">
        <v>55</v>
      </c>
      <c r="I171" s="247"/>
    </row>
    <row r="172" spans="2:9" x14ac:dyDescent="0.25">
      <c r="B172" s="414"/>
      <c r="C172" s="40" t="s">
        <v>304</v>
      </c>
      <c r="D172" s="40">
        <v>2023</v>
      </c>
      <c r="E172" s="25" t="s">
        <v>112</v>
      </c>
      <c r="F172" s="40" t="s">
        <v>71</v>
      </c>
      <c r="G172" s="139" t="s">
        <v>66</v>
      </c>
      <c r="H172" s="191" t="s">
        <v>54</v>
      </c>
      <c r="I172" s="247"/>
    </row>
    <row r="173" spans="2:9" x14ac:dyDescent="0.25">
      <c r="B173" s="414"/>
      <c r="C173" s="40" t="s">
        <v>319</v>
      </c>
      <c r="D173" s="40">
        <v>2023</v>
      </c>
      <c r="E173" s="25" t="s">
        <v>113</v>
      </c>
      <c r="F173" s="40" t="s">
        <v>72</v>
      </c>
      <c r="G173" s="140" t="s">
        <v>59</v>
      </c>
      <c r="H173" s="191" t="s">
        <v>55</v>
      </c>
      <c r="I173" s="247"/>
    </row>
    <row r="174" spans="2:9" x14ac:dyDescent="0.25">
      <c r="B174" s="414"/>
      <c r="C174" s="40" t="s">
        <v>331</v>
      </c>
      <c r="D174" s="40">
        <v>2023</v>
      </c>
      <c r="E174" s="25" t="s">
        <v>114</v>
      </c>
      <c r="F174" s="40" t="s">
        <v>73</v>
      </c>
      <c r="G174" s="140" t="s">
        <v>161</v>
      </c>
      <c r="H174" s="191" t="s">
        <v>54</v>
      </c>
      <c r="I174" s="247"/>
    </row>
    <row r="175" spans="2:9" x14ac:dyDescent="0.25">
      <c r="B175" s="414"/>
      <c r="C175" s="40" t="s">
        <v>318</v>
      </c>
      <c r="D175" s="40">
        <v>2023</v>
      </c>
      <c r="E175" s="25" t="s">
        <v>117</v>
      </c>
      <c r="F175" s="40" t="s">
        <v>62</v>
      </c>
      <c r="G175" s="138" t="s">
        <v>56</v>
      </c>
      <c r="H175" s="191" t="s">
        <v>55</v>
      </c>
      <c r="I175" s="247"/>
    </row>
    <row r="176" spans="2:9" x14ac:dyDescent="0.25">
      <c r="B176" s="414"/>
      <c r="C176" s="40" t="s">
        <v>312</v>
      </c>
      <c r="D176" s="40">
        <v>2023</v>
      </c>
      <c r="E176" s="25" t="s">
        <v>117</v>
      </c>
      <c r="F176" s="40" t="s">
        <v>62</v>
      </c>
      <c r="G176" s="138" t="s">
        <v>56</v>
      </c>
      <c r="H176" s="191" t="s">
        <v>55</v>
      </c>
      <c r="I176" s="247"/>
    </row>
    <row r="177" spans="2:9" x14ac:dyDescent="0.25">
      <c r="B177" s="414"/>
      <c r="C177" s="40" t="s">
        <v>309</v>
      </c>
      <c r="D177" s="40">
        <v>2023</v>
      </c>
      <c r="E177" s="25" t="s">
        <v>121</v>
      </c>
      <c r="F177" s="40" t="s">
        <v>79</v>
      </c>
      <c r="G177" s="138" t="s">
        <v>56</v>
      </c>
      <c r="H177" s="191" t="s">
        <v>55</v>
      </c>
      <c r="I177" s="247"/>
    </row>
    <row r="178" spans="2:9" x14ac:dyDescent="0.25">
      <c r="B178" s="414"/>
      <c r="C178" s="40" t="s">
        <v>308</v>
      </c>
      <c r="D178" s="40">
        <v>2023</v>
      </c>
      <c r="E178" s="25" t="s">
        <v>121</v>
      </c>
      <c r="F178" s="40" t="s">
        <v>79</v>
      </c>
      <c r="G178" s="138" t="s">
        <v>56</v>
      </c>
      <c r="H178" s="191" t="s">
        <v>55</v>
      </c>
      <c r="I178" s="247"/>
    </row>
    <row r="179" spans="2:9" x14ac:dyDescent="0.25">
      <c r="B179" s="414"/>
      <c r="C179" s="40" t="s">
        <v>308</v>
      </c>
      <c r="D179" s="40">
        <v>2023</v>
      </c>
      <c r="E179" s="25" t="s">
        <v>123</v>
      </c>
      <c r="F179" s="40" t="s">
        <v>81</v>
      </c>
      <c r="G179" s="139" t="s">
        <v>66</v>
      </c>
      <c r="H179" s="191" t="s">
        <v>55</v>
      </c>
      <c r="I179" s="247"/>
    </row>
    <row r="180" spans="2:9" x14ac:dyDescent="0.25">
      <c r="B180" s="414"/>
      <c r="C180" s="40" t="s">
        <v>309</v>
      </c>
      <c r="D180" s="40">
        <v>2023</v>
      </c>
      <c r="E180" s="25" t="s">
        <v>124</v>
      </c>
      <c r="F180" s="40" t="s">
        <v>82</v>
      </c>
      <c r="G180" s="138" t="s">
        <v>61</v>
      </c>
      <c r="H180" s="191" t="s">
        <v>54</v>
      </c>
      <c r="I180" s="247"/>
    </row>
    <row r="181" spans="2:9" x14ac:dyDescent="0.25">
      <c r="B181" s="414"/>
      <c r="C181" s="40" t="s">
        <v>308</v>
      </c>
      <c r="D181" s="40">
        <v>2023</v>
      </c>
      <c r="E181" s="25" t="s">
        <v>125</v>
      </c>
      <c r="F181" s="40" t="s">
        <v>69</v>
      </c>
      <c r="G181" s="138" t="s">
        <v>56</v>
      </c>
      <c r="H181" s="191" t="s">
        <v>55</v>
      </c>
      <c r="I181" s="247"/>
    </row>
    <row r="182" spans="2:9" ht="15.75" thickBot="1" x14ac:dyDescent="0.3">
      <c r="B182" s="414"/>
      <c r="C182" s="41" t="s">
        <v>304</v>
      </c>
      <c r="D182" s="41">
        <v>2023</v>
      </c>
      <c r="E182" s="23" t="s">
        <v>125</v>
      </c>
      <c r="F182" s="41" t="s">
        <v>69</v>
      </c>
      <c r="G182" s="142" t="s">
        <v>56</v>
      </c>
      <c r="H182" s="257" t="s">
        <v>55</v>
      </c>
      <c r="I182" s="247"/>
    </row>
    <row r="183" spans="2:9" x14ac:dyDescent="0.25">
      <c r="B183" s="414"/>
      <c r="C183" s="40" t="s">
        <v>304</v>
      </c>
      <c r="D183" s="40" t="s">
        <v>241</v>
      </c>
      <c r="E183" s="25" t="s">
        <v>92</v>
      </c>
      <c r="F183" s="40" t="s">
        <v>87</v>
      </c>
      <c r="G183" s="138" t="s">
        <v>56</v>
      </c>
      <c r="H183" s="191" t="s">
        <v>55</v>
      </c>
      <c r="I183" s="247"/>
    </row>
    <row r="184" spans="2:9" x14ac:dyDescent="0.25">
      <c r="B184" s="414"/>
      <c r="C184" s="40" t="s">
        <v>305</v>
      </c>
      <c r="D184" s="40" t="s">
        <v>241</v>
      </c>
      <c r="E184" s="25" t="s">
        <v>92</v>
      </c>
      <c r="F184" s="40" t="s">
        <v>87</v>
      </c>
      <c r="G184" s="138" t="s">
        <v>56</v>
      </c>
      <c r="H184" s="191" t="s">
        <v>55</v>
      </c>
      <c r="I184" s="247"/>
    </row>
    <row r="185" spans="2:9" x14ac:dyDescent="0.25">
      <c r="B185" s="414"/>
      <c r="C185" s="40" t="s">
        <v>330</v>
      </c>
      <c r="D185" s="40" t="s">
        <v>241</v>
      </c>
      <c r="E185" s="25" t="s">
        <v>93</v>
      </c>
      <c r="F185" s="40" t="s">
        <v>88</v>
      </c>
      <c r="G185" s="138" t="s">
        <v>85</v>
      </c>
      <c r="H185" s="191" t="s">
        <v>54</v>
      </c>
      <c r="I185" s="247"/>
    </row>
    <row r="186" spans="2:9" x14ac:dyDescent="0.25">
      <c r="B186" s="414"/>
      <c r="C186" s="40" t="s">
        <v>309</v>
      </c>
      <c r="D186" s="40" t="s">
        <v>241</v>
      </c>
      <c r="E186" s="25" t="s">
        <v>93</v>
      </c>
      <c r="F186" s="40" t="s">
        <v>88</v>
      </c>
      <c r="G186" s="138" t="s">
        <v>85</v>
      </c>
      <c r="H186" s="191" t="s">
        <v>54</v>
      </c>
      <c r="I186" s="247"/>
    </row>
    <row r="187" spans="2:9" x14ac:dyDescent="0.25">
      <c r="B187" s="414"/>
      <c r="C187" s="40" t="s">
        <v>437</v>
      </c>
      <c r="D187" s="40" t="s">
        <v>241</v>
      </c>
      <c r="E187" s="25" t="s">
        <v>93</v>
      </c>
      <c r="F187" s="40" t="s">
        <v>88</v>
      </c>
      <c r="G187" s="138" t="s">
        <v>85</v>
      </c>
      <c r="H187" s="191" t="s">
        <v>54</v>
      </c>
      <c r="I187" s="247"/>
    </row>
    <row r="188" spans="2:9" x14ac:dyDescent="0.25">
      <c r="B188" s="414"/>
      <c r="C188" s="40" t="s">
        <v>330</v>
      </c>
      <c r="D188" s="40" t="s">
        <v>241</v>
      </c>
      <c r="E188" s="25" t="s">
        <v>94</v>
      </c>
      <c r="F188" s="40" t="s">
        <v>72</v>
      </c>
      <c r="G188" s="139" t="s">
        <v>86</v>
      </c>
      <c r="H188" s="191" t="s">
        <v>55</v>
      </c>
      <c r="I188" s="247"/>
    </row>
    <row r="189" spans="2:9" x14ac:dyDescent="0.25">
      <c r="B189" s="414"/>
      <c r="C189" s="40" t="s">
        <v>305</v>
      </c>
      <c r="D189" s="40" t="s">
        <v>241</v>
      </c>
      <c r="E189" s="25" t="s">
        <v>94</v>
      </c>
      <c r="F189" s="40" t="s">
        <v>72</v>
      </c>
      <c r="G189" s="139" t="s">
        <v>86</v>
      </c>
      <c r="H189" s="191" t="s">
        <v>55</v>
      </c>
      <c r="I189" s="247"/>
    </row>
    <row r="190" spans="2:9" x14ac:dyDescent="0.25">
      <c r="B190" s="414"/>
      <c r="C190" s="40" t="s">
        <v>308</v>
      </c>
      <c r="D190" s="40" t="s">
        <v>241</v>
      </c>
      <c r="E190" s="25" t="s">
        <v>95</v>
      </c>
      <c r="F190" s="40" t="s">
        <v>89</v>
      </c>
      <c r="G190" s="140" t="s">
        <v>59</v>
      </c>
      <c r="H190" s="191" t="s">
        <v>54</v>
      </c>
      <c r="I190" s="247"/>
    </row>
    <row r="191" spans="2:9" x14ac:dyDescent="0.25">
      <c r="B191" s="414"/>
      <c r="C191" s="40" t="s">
        <v>304</v>
      </c>
      <c r="D191" s="40" t="s">
        <v>241</v>
      </c>
      <c r="E191" s="25" t="s">
        <v>96</v>
      </c>
      <c r="F191" s="40" t="s">
        <v>76</v>
      </c>
      <c r="G191" s="140" t="s">
        <v>59</v>
      </c>
      <c r="H191" s="191" t="s">
        <v>55</v>
      </c>
      <c r="I191" s="247"/>
    </row>
    <row r="192" spans="2:9" x14ac:dyDescent="0.25">
      <c r="B192" s="414"/>
      <c r="C192" s="40" t="s">
        <v>315</v>
      </c>
      <c r="D192" s="40" t="s">
        <v>241</v>
      </c>
      <c r="E192" s="25" t="s">
        <v>97</v>
      </c>
      <c r="F192" s="40" t="s">
        <v>90</v>
      </c>
      <c r="G192" s="138" t="s">
        <v>56</v>
      </c>
      <c r="H192" s="191" t="s">
        <v>54</v>
      </c>
      <c r="I192" s="247"/>
    </row>
    <row r="193" spans="2:9" x14ac:dyDescent="0.25">
      <c r="B193" s="414"/>
      <c r="C193" s="40" t="s">
        <v>305</v>
      </c>
      <c r="D193" s="40" t="s">
        <v>241</v>
      </c>
      <c r="E193" s="25" t="s">
        <v>98</v>
      </c>
      <c r="F193" s="40" t="s">
        <v>71</v>
      </c>
      <c r="G193" s="139" t="s">
        <v>53</v>
      </c>
      <c r="H193" s="191" t="s">
        <v>55</v>
      </c>
      <c r="I193" s="247"/>
    </row>
    <row r="194" spans="2:9" x14ac:dyDescent="0.25">
      <c r="B194" s="414"/>
      <c r="C194" s="40" t="s">
        <v>321</v>
      </c>
      <c r="D194" s="40" t="s">
        <v>241</v>
      </c>
      <c r="E194" s="25" t="s">
        <v>99</v>
      </c>
      <c r="F194" s="40" t="s">
        <v>62</v>
      </c>
      <c r="G194" s="139" t="s">
        <v>66</v>
      </c>
      <c r="H194" s="191" t="s">
        <v>54</v>
      </c>
      <c r="I194" s="247"/>
    </row>
    <row r="195" spans="2:9" x14ac:dyDescent="0.25">
      <c r="B195" s="414"/>
      <c r="C195" s="40" t="s">
        <v>307</v>
      </c>
      <c r="D195" s="40" t="s">
        <v>241</v>
      </c>
      <c r="E195" s="25" t="s">
        <v>134</v>
      </c>
      <c r="F195" s="40" t="s">
        <v>127</v>
      </c>
      <c r="G195" s="138" t="s">
        <v>61</v>
      </c>
      <c r="H195" s="191" t="s">
        <v>55</v>
      </c>
      <c r="I195" s="247"/>
    </row>
    <row r="196" spans="2:9" x14ac:dyDescent="0.25">
      <c r="B196" s="414"/>
      <c r="C196" s="40" t="s">
        <v>315</v>
      </c>
      <c r="D196" s="40" t="s">
        <v>241</v>
      </c>
      <c r="E196" s="25" t="s">
        <v>101</v>
      </c>
      <c r="F196" s="40" t="s">
        <v>249</v>
      </c>
      <c r="G196" s="139" t="s">
        <v>66</v>
      </c>
      <c r="H196" s="191" t="s">
        <v>54</v>
      </c>
      <c r="I196" s="247"/>
    </row>
    <row r="197" spans="2:9" x14ac:dyDescent="0.25">
      <c r="B197" s="414"/>
      <c r="C197" s="40" t="s">
        <v>325</v>
      </c>
      <c r="D197" s="40" t="s">
        <v>241</v>
      </c>
      <c r="E197" s="25" t="s">
        <v>104</v>
      </c>
      <c r="F197" s="40" t="s">
        <v>81</v>
      </c>
      <c r="G197" s="140" t="s">
        <v>59</v>
      </c>
      <c r="H197" s="191" t="s">
        <v>55</v>
      </c>
      <c r="I197" s="247"/>
    </row>
    <row r="198" spans="2:9" x14ac:dyDescent="0.25">
      <c r="B198" s="414"/>
      <c r="C198" s="40" t="s">
        <v>308</v>
      </c>
      <c r="D198" s="40" t="s">
        <v>241</v>
      </c>
      <c r="E198" s="25" t="s">
        <v>106</v>
      </c>
      <c r="F198" s="40" t="s">
        <v>58</v>
      </c>
      <c r="G198" s="139" t="s">
        <v>66</v>
      </c>
      <c r="H198" s="191" t="s">
        <v>55</v>
      </c>
      <c r="I198" s="247"/>
    </row>
    <row r="199" spans="2:9" x14ac:dyDescent="0.25">
      <c r="B199" s="414"/>
      <c r="C199" s="40" t="s">
        <v>312</v>
      </c>
      <c r="D199" s="40" t="s">
        <v>241</v>
      </c>
      <c r="E199" s="25" t="s">
        <v>107</v>
      </c>
      <c r="F199" s="40" t="s">
        <v>129</v>
      </c>
      <c r="G199" s="139" t="s">
        <v>66</v>
      </c>
      <c r="H199" s="191" t="s">
        <v>54</v>
      </c>
      <c r="I199" s="247"/>
    </row>
    <row r="200" spans="2:9" x14ac:dyDescent="0.25">
      <c r="B200" s="414"/>
      <c r="C200" s="40" t="s">
        <v>305</v>
      </c>
      <c r="D200" s="40" t="s">
        <v>241</v>
      </c>
      <c r="E200" s="25" t="s">
        <v>110</v>
      </c>
      <c r="F200" s="40" t="s">
        <v>131</v>
      </c>
      <c r="G200" s="138" t="s">
        <v>61</v>
      </c>
      <c r="H200" s="191" t="s">
        <v>55</v>
      </c>
      <c r="I200" s="247"/>
    </row>
    <row r="201" spans="2:9" x14ac:dyDescent="0.25">
      <c r="B201" s="414"/>
      <c r="C201" s="40" t="s">
        <v>309</v>
      </c>
      <c r="D201" s="40" t="s">
        <v>241</v>
      </c>
      <c r="E201" s="25" t="s">
        <v>112</v>
      </c>
      <c r="F201" s="40" t="s">
        <v>132</v>
      </c>
      <c r="G201" s="140" t="s">
        <v>67</v>
      </c>
      <c r="H201" s="191" t="s">
        <v>55</v>
      </c>
      <c r="I201" s="247"/>
    </row>
    <row r="202" spans="2:9" x14ac:dyDescent="0.25">
      <c r="B202" s="414"/>
      <c r="C202" s="40" t="s">
        <v>307</v>
      </c>
      <c r="D202" s="40" t="s">
        <v>241</v>
      </c>
      <c r="E202" s="25" t="s">
        <v>112</v>
      </c>
      <c r="F202" s="40" t="s">
        <v>132</v>
      </c>
      <c r="G202" s="140" t="s">
        <v>67</v>
      </c>
      <c r="H202" s="191" t="s">
        <v>55</v>
      </c>
      <c r="I202" s="247"/>
    </row>
    <row r="203" spans="2:9" x14ac:dyDescent="0.25">
      <c r="B203" s="414"/>
      <c r="C203" s="40" t="s">
        <v>313</v>
      </c>
      <c r="D203" s="40" t="s">
        <v>242</v>
      </c>
      <c r="E203" s="25" t="s">
        <v>91</v>
      </c>
      <c r="F203" s="40" t="s">
        <v>74</v>
      </c>
      <c r="G203" s="138" t="s">
        <v>61</v>
      </c>
      <c r="H203" s="191" t="s">
        <v>55</v>
      </c>
      <c r="I203" s="247"/>
    </row>
    <row r="204" spans="2:9" x14ac:dyDescent="0.25">
      <c r="B204" s="414"/>
      <c r="C204" s="40" t="s">
        <v>312</v>
      </c>
      <c r="D204" s="40" t="s">
        <v>242</v>
      </c>
      <c r="E204" s="25" t="s">
        <v>93</v>
      </c>
      <c r="F204" s="40" t="s">
        <v>88</v>
      </c>
      <c r="G204" s="138" t="s">
        <v>56</v>
      </c>
      <c r="H204" s="191" t="s">
        <v>55</v>
      </c>
      <c r="I204" s="247"/>
    </row>
    <row r="205" spans="2:9" x14ac:dyDescent="0.25">
      <c r="B205" s="414"/>
      <c r="C205" s="40" t="s">
        <v>306</v>
      </c>
      <c r="D205" s="40" t="s">
        <v>242</v>
      </c>
      <c r="E205" s="25" t="s">
        <v>93</v>
      </c>
      <c r="F205" s="40" t="s">
        <v>88</v>
      </c>
      <c r="G205" s="138" t="s">
        <v>56</v>
      </c>
      <c r="H205" s="191" t="s">
        <v>55</v>
      </c>
      <c r="I205" s="247"/>
    </row>
    <row r="206" spans="2:9" x14ac:dyDescent="0.25">
      <c r="B206" s="414"/>
      <c r="C206" s="40" t="s">
        <v>305</v>
      </c>
      <c r="D206" s="40" t="s">
        <v>242</v>
      </c>
      <c r="E206" s="25" t="s">
        <v>94</v>
      </c>
      <c r="F206" s="40" t="s">
        <v>72</v>
      </c>
      <c r="G206" s="138" t="s">
        <v>61</v>
      </c>
      <c r="H206" s="191" t="s">
        <v>54</v>
      </c>
      <c r="I206" s="247"/>
    </row>
    <row r="207" spans="2:9" x14ac:dyDescent="0.25">
      <c r="B207" s="414"/>
      <c r="C207" s="40" t="s">
        <v>314</v>
      </c>
      <c r="D207" s="40" t="s">
        <v>242</v>
      </c>
      <c r="E207" s="25" t="s">
        <v>95</v>
      </c>
      <c r="F207" s="40" t="s">
        <v>89</v>
      </c>
      <c r="G207" s="139" t="s">
        <v>66</v>
      </c>
      <c r="H207" s="191" t="s">
        <v>55</v>
      </c>
      <c r="I207" s="247"/>
    </row>
    <row r="208" spans="2:9" x14ac:dyDescent="0.25">
      <c r="B208" s="414"/>
      <c r="C208" s="40" t="s">
        <v>322</v>
      </c>
      <c r="D208" s="40" t="s">
        <v>242</v>
      </c>
      <c r="E208" s="25" t="s">
        <v>97</v>
      </c>
      <c r="F208" s="40" t="s">
        <v>90</v>
      </c>
      <c r="G208" s="139" t="s">
        <v>66</v>
      </c>
      <c r="H208" s="191" t="s">
        <v>55</v>
      </c>
      <c r="I208" s="247"/>
    </row>
    <row r="209" spans="2:9" x14ac:dyDescent="0.25">
      <c r="B209" s="414"/>
      <c r="C209" s="40" t="s">
        <v>330</v>
      </c>
      <c r="D209" s="40" t="s">
        <v>242</v>
      </c>
      <c r="E209" s="25" t="s">
        <v>101</v>
      </c>
      <c r="F209" s="40" t="s">
        <v>249</v>
      </c>
      <c r="G209" s="140" t="s">
        <v>161</v>
      </c>
      <c r="H209" s="191" t="s">
        <v>55</v>
      </c>
      <c r="I209" s="247"/>
    </row>
    <row r="210" spans="2:9" x14ac:dyDescent="0.25">
      <c r="B210" s="414"/>
      <c r="C210" s="40" t="s">
        <v>306</v>
      </c>
      <c r="D210" s="40" t="s">
        <v>242</v>
      </c>
      <c r="E210" s="25" t="s">
        <v>103</v>
      </c>
      <c r="F210" s="40" t="s">
        <v>128</v>
      </c>
      <c r="G210" s="138" t="s">
        <v>61</v>
      </c>
      <c r="H210" s="191" t="s">
        <v>55</v>
      </c>
      <c r="I210" s="247"/>
    </row>
    <row r="211" spans="2:9" x14ac:dyDescent="0.25">
      <c r="B211" s="414"/>
      <c r="C211" s="40" t="s">
        <v>330</v>
      </c>
      <c r="D211" s="40" t="s">
        <v>242</v>
      </c>
      <c r="E211" s="25" t="s">
        <v>105</v>
      </c>
      <c r="F211" s="40" t="s">
        <v>75</v>
      </c>
      <c r="G211" s="138" t="s">
        <v>85</v>
      </c>
      <c r="H211" s="191" t="s">
        <v>55</v>
      </c>
      <c r="I211" s="247"/>
    </row>
    <row r="212" spans="2:9" x14ac:dyDescent="0.25">
      <c r="B212" s="414"/>
      <c r="C212" s="40" t="s">
        <v>305</v>
      </c>
      <c r="D212" s="40" t="s">
        <v>242</v>
      </c>
      <c r="E212" s="25" t="s">
        <v>105</v>
      </c>
      <c r="F212" s="40" t="s">
        <v>75</v>
      </c>
      <c r="G212" s="138" t="s">
        <v>85</v>
      </c>
      <c r="H212" s="191" t="s">
        <v>55</v>
      </c>
      <c r="I212" s="247"/>
    </row>
    <row r="213" spans="2:9" x14ac:dyDescent="0.25">
      <c r="B213" s="414"/>
      <c r="C213" s="40" t="s">
        <v>304</v>
      </c>
      <c r="D213" s="40" t="s">
        <v>242</v>
      </c>
      <c r="E213" s="25" t="s">
        <v>105</v>
      </c>
      <c r="F213" s="40" t="s">
        <v>75</v>
      </c>
      <c r="G213" s="138" t="s">
        <v>85</v>
      </c>
      <c r="H213" s="191" t="s">
        <v>55</v>
      </c>
      <c r="I213" s="247"/>
    </row>
    <row r="214" spans="2:9" x14ac:dyDescent="0.25">
      <c r="B214" s="414"/>
      <c r="C214" s="40" t="s">
        <v>328</v>
      </c>
      <c r="D214" s="40" t="s">
        <v>242</v>
      </c>
      <c r="E214" s="25" t="s">
        <v>106</v>
      </c>
      <c r="F214" s="40" t="s">
        <v>58</v>
      </c>
      <c r="G214" s="138" t="s">
        <v>61</v>
      </c>
      <c r="H214" s="191" t="s">
        <v>54</v>
      </c>
      <c r="I214" s="247"/>
    </row>
    <row r="215" spans="2:9" x14ac:dyDescent="0.25">
      <c r="B215" s="414"/>
      <c r="C215" s="40" t="s">
        <v>307</v>
      </c>
      <c r="D215" s="40" t="s">
        <v>242</v>
      </c>
      <c r="E215" s="25" t="s">
        <v>108</v>
      </c>
      <c r="F215" s="40" t="s">
        <v>57</v>
      </c>
      <c r="G215" s="140" t="s">
        <v>161</v>
      </c>
      <c r="H215" s="191" t="s">
        <v>54</v>
      </c>
      <c r="I215" s="247"/>
    </row>
    <row r="216" spans="2:9" x14ac:dyDescent="0.25">
      <c r="B216" s="414"/>
      <c r="C216" s="40" t="s">
        <v>313</v>
      </c>
      <c r="D216" s="40" t="s">
        <v>242</v>
      </c>
      <c r="E216" s="25" t="s">
        <v>110</v>
      </c>
      <c r="F216" s="40" t="s">
        <v>131</v>
      </c>
      <c r="G216" s="138" t="s">
        <v>61</v>
      </c>
      <c r="H216" s="191" t="s">
        <v>54</v>
      </c>
      <c r="I216" s="247"/>
    </row>
    <row r="217" spans="2:9" x14ac:dyDescent="0.25">
      <c r="B217" s="414"/>
      <c r="C217" s="40" t="s">
        <v>311</v>
      </c>
      <c r="D217" s="40" t="s">
        <v>242</v>
      </c>
      <c r="E217" s="25" t="s">
        <v>111</v>
      </c>
      <c r="F217" s="40" t="s">
        <v>80</v>
      </c>
      <c r="G217" s="143" t="s">
        <v>86</v>
      </c>
      <c r="H217" s="191" t="s">
        <v>55</v>
      </c>
      <c r="I217" s="247"/>
    </row>
    <row r="218" spans="2:9" x14ac:dyDescent="0.25">
      <c r="B218" s="414"/>
      <c r="C218" s="40" t="s">
        <v>316</v>
      </c>
      <c r="D218" s="40" t="s">
        <v>242</v>
      </c>
      <c r="E218" s="25" t="s">
        <v>111</v>
      </c>
      <c r="F218" s="40" t="s">
        <v>80</v>
      </c>
      <c r="G218" s="143" t="s">
        <v>86</v>
      </c>
      <c r="H218" s="191" t="s">
        <v>55</v>
      </c>
      <c r="I218" s="247"/>
    </row>
    <row r="219" spans="2:9" x14ac:dyDescent="0.25">
      <c r="B219" s="414"/>
      <c r="C219" s="40" t="s">
        <v>311</v>
      </c>
      <c r="D219" s="40" t="s">
        <v>242</v>
      </c>
      <c r="E219" s="25" t="s">
        <v>112</v>
      </c>
      <c r="F219" s="40" t="s">
        <v>132</v>
      </c>
      <c r="G219" s="143" t="s">
        <v>86</v>
      </c>
      <c r="H219" s="191" t="s">
        <v>54</v>
      </c>
      <c r="I219" s="247"/>
    </row>
    <row r="220" spans="2:9" x14ac:dyDescent="0.25">
      <c r="B220" s="414"/>
      <c r="C220" s="40" t="s">
        <v>311</v>
      </c>
      <c r="D220" s="40" t="s">
        <v>242</v>
      </c>
      <c r="E220" s="25" t="s">
        <v>112</v>
      </c>
      <c r="F220" s="40" t="s">
        <v>132</v>
      </c>
      <c r="G220" s="143" t="s">
        <v>86</v>
      </c>
      <c r="H220" s="191" t="s">
        <v>54</v>
      </c>
      <c r="I220" s="247"/>
    </row>
    <row r="221" spans="2:9" x14ac:dyDescent="0.25">
      <c r="B221" s="414"/>
      <c r="C221" s="40" t="s">
        <v>306</v>
      </c>
      <c r="D221" s="40" t="s">
        <v>242</v>
      </c>
      <c r="E221" s="25" t="s">
        <v>113</v>
      </c>
      <c r="F221" s="40" t="s">
        <v>133</v>
      </c>
      <c r="G221" s="138" t="s">
        <v>56</v>
      </c>
      <c r="H221" s="191" t="s">
        <v>55</v>
      </c>
      <c r="I221" s="247"/>
    </row>
    <row r="222" spans="2:9" x14ac:dyDescent="0.25">
      <c r="B222" s="414"/>
      <c r="C222" s="40" t="s">
        <v>314</v>
      </c>
      <c r="D222" s="40" t="s">
        <v>242</v>
      </c>
      <c r="E222" s="25" t="s">
        <v>113</v>
      </c>
      <c r="F222" s="40" t="s">
        <v>133</v>
      </c>
      <c r="G222" s="138" t="s">
        <v>56</v>
      </c>
      <c r="H222" s="191" t="s">
        <v>55</v>
      </c>
      <c r="I222" s="247"/>
    </row>
    <row r="223" spans="2:9" ht="15.75" thickBot="1" x14ac:dyDescent="0.3">
      <c r="B223" s="414"/>
      <c r="C223" s="41" t="s">
        <v>304</v>
      </c>
      <c r="D223" s="41" t="s">
        <v>242</v>
      </c>
      <c r="E223" s="23" t="s">
        <v>114</v>
      </c>
      <c r="F223" s="41" t="s">
        <v>82</v>
      </c>
      <c r="G223" s="144" t="s">
        <v>59</v>
      </c>
      <c r="H223" s="257" t="s">
        <v>54</v>
      </c>
      <c r="I223" s="247"/>
    </row>
    <row r="224" spans="2:9" x14ac:dyDescent="0.25">
      <c r="B224" s="414"/>
      <c r="C224" s="22" t="s">
        <v>332</v>
      </c>
      <c r="D224" s="22">
        <v>2025</v>
      </c>
      <c r="E224" s="22" t="s">
        <v>91</v>
      </c>
      <c r="F224" s="40" t="s">
        <v>249</v>
      </c>
      <c r="G224" s="140" t="s">
        <v>59</v>
      </c>
      <c r="H224" s="157" t="s">
        <v>55</v>
      </c>
      <c r="I224" s="247"/>
    </row>
    <row r="225" spans="2:9" x14ac:dyDescent="0.25">
      <c r="B225" s="414"/>
      <c r="C225" s="25" t="s">
        <v>329</v>
      </c>
      <c r="D225" s="25">
        <v>2025</v>
      </c>
      <c r="E225" s="25" t="s">
        <v>92</v>
      </c>
      <c r="F225" s="40" t="s">
        <v>57</v>
      </c>
      <c r="G225" s="140" t="s">
        <v>161</v>
      </c>
      <c r="H225" s="191" t="s">
        <v>54</v>
      </c>
      <c r="I225" s="247"/>
    </row>
    <row r="226" spans="2:9" x14ac:dyDescent="0.25">
      <c r="B226" s="414"/>
      <c r="C226" s="25" t="s">
        <v>306</v>
      </c>
      <c r="D226" s="25">
        <v>2025</v>
      </c>
      <c r="E226" s="25" t="s">
        <v>93</v>
      </c>
      <c r="F226" s="40" t="s">
        <v>62</v>
      </c>
      <c r="G226" s="140" t="s">
        <v>161</v>
      </c>
      <c r="H226" s="191" t="s">
        <v>55</v>
      </c>
      <c r="I226" s="247"/>
    </row>
    <row r="227" spans="2:9" x14ac:dyDescent="0.25">
      <c r="B227" s="414"/>
      <c r="C227" s="25" t="s">
        <v>327</v>
      </c>
      <c r="D227" s="25">
        <v>2025</v>
      </c>
      <c r="E227" s="25" t="s">
        <v>94</v>
      </c>
      <c r="F227" s="40" t="s">
        <v>191</v>
      </c>
      <c r="G227" s="139" t="s">
        <v>66</v>
      </c>
      <c r="H227" s="191" t="s">
        <v>54</v>
      </c>
      <c r="I227" s="247"/>
    </row>
    <row r="228" spans="2:9" x14ac:dyDescent="0.25">
      <c r="B228" s="414"/>
      <c r="C228" s="25" t="s">
        <v>316</v>
      </c>
      <c r="D228" s="25">
        <v>2025</v>
      </c>
      <c r="E228" s="25" t="s">
        <v>95</v>
      </c>
      <c r="F228" s="40" t="s">
        <v>128</v>
      </c>
      <c r="G228" s="138" t="s">
        <v>85</v>
      </c>
      <c r="H228" s="191" t="s">
        <v>55</v>
      </c>
      <c r="I228" s="247"/>
    </row>
    <row r="229" spans="2:9" x14ac:dyDescent="0.25">
      <c r="B229" s="414"/>
      <c r="C229" s="25" t="s">
        <v>330</v>
      </c>
      <c r="D229" s="25">
        <v>2025</v>
      </c>
      <c r="E229" s="25" t="s">
        <v>95</v>
      </c>
      <c r="F229" s="40" t="s">
        <v>128</v>
      </c>
      <c r="G229" s="138" t="s">
        <v>85</v>
      </c>
      <c r="H229" s="191" t="s">
        <v>55</v>
      </c>
      <c r="I229" s="247"/>
    </row>
    <row r="230" spans="2:9" x14ac:dyDescent="0.25">
      <c r="B230" s="414"/>
      <c r="C230" s="25" t="s">
        <v>306</v>
      </c>
      <c r="D230" s="25">
        <v>2025</v>
      </c>
      <c r="E230" s="25" t="s">
        <v>95</v>
      </c>
      <c r="F230" s="40" t="s">
        <v>128</v>
      </c>
      <c r="G230" s="138" t="s">
        <v>85</v>
      </c>
      <c r="H230" s="191" t="s">
        <v>55</v>
      </c>
      <c r="I230" s="247"/>
    </row>
    <row r="231" spans="2:9" x14ac:dyDescent="0.25">
      <c r="B231" s="414"/>
      <c r="C231" s="25" t="s">
        <v>307</v>
      </c>
      <c r="D231" s="25">
        <v>2025</v>
      </c>
      <c r="E231" s="25" t="s">
        <v>98</v>
      </c>
      <c r="F231" s="40" t="s">
        <v>80</v>
      </c>
      <c r="G231" s="138" t="s">
        <v>64</v>
      </c>
      <c r="H231" s="191" t="s">
        <v>54</v>
      </c>
      <c r="I231" s="247"/>
    </row>
    <row r="232" spans="2:9" x14ac:dyDescent="0.25">
      <c r="B232" s="414"/>
      <c r="C232" s="25" t="s">
        <v>306</v>
      </c>
      <c r="D232" s="25">
        <v>2025</v>
      </c>
      <c r="E232" s="25" t="s">
        <v>98</v>
      </c>
      <c r="F232" s="40" t="s">
        <v>80</v>
      </c>
      <c r="G232" s="138" t="s">
        <v>64</v>
      </c>
      <c r="H232" s="191" t="s">
        <v>54</v>
      </c>
      <c r="I232" s="247"/>
    </row>
    <row r="233" spans="2:9" x14ac:dyDescent="0.25">
      <c r="B233" s="414"/>
      <c r="C233" s="25" t="s">
        <v>316</v>
      </c>
      <c r="D233" s="25">
        <v>2025</v>
      </c>
      <c r="E233" s="25" t="s">
        <v>99</v>
      </c>
      <c r="F233" s="40" t="s">
        <v>90</v>
      </c>
      <c r="G233" s="138" t="s">
        <v>623</v>
      </c>
      <c r="H233" s="191" t="s">
        <v>55</v>
      </c>
      <c r="I233" s="247"/>
    </row>
    <row r="234" spans="2:9" x14ac:dyDescent="0.25">
      <c r="B234" s="414"/>
      <c r="C234" s="25" t="s">
        <v>306</v>
      </c>
      <c r="D234" s="25">
        <v>2025</v>
      </c>
      <c r="E234" s="25" t="s">
        <v>99</v>
      </c>
      <c r="F234" s="40" t="s">
        <v>90</v>
      </c>
      <c r="G234" s="138" t="s">
        <v>623</v>
      </c>
      <c r="H234" s="191" t="s">
        <v>55</v>
      </c>
      <c r="I234" s="247"/>
    </row>
    <row r="235" spans="2:9" x14ac:dyDescent="0.25">
      <c r="B235" s="414"/>
      <c r="C235" s="25" t="s">
        <v>329</v>
      </c>
      <c r="D235" s="25">
        <v>2025</v>
      </c>
      <c r="E235" s="25" t="s">
        <v>99</v>
      </c>
      <c r="F235" s="40" t="s">
        <v>90</v>
      </c>
      <c r="G235" s="138" t="s">
        <v>623</v>
      </c>
      <c r="H235" s="191" t="s">
        <v>55</v>
      </c>
      <c r="I235" s="247"/>
    </row>
    <row r="236" spans="2:9" x14ac:dyDescent="0.25">
      <c r="B236" s="414"/>
      <c r="C236" s="25" t="s">
        <v>314</v>
      </c>
      <c r="D236" s="25">
        <v>2025</v>
      </c>
      <c r="E236" s="25" t="s">
        <v>134</v>
      </c>
      <c r="F236" s="40" t="s">
        <v>88</v>
      </c>
      <c r="G236" s="138" t="s">
        <v>61</v>
      </c>
      <c r="H236" s="191" t="s">
        <v>54</v>
      </c>
      <c r="I236" s="247"/>
    </row>
    <row r="237" spans="2:9" x14ac:dyDescent="0.25">
      <c r="B237" s="414"/>
      <c r="C237" s="25" t="s">
        <v>314</v>
      </c>
      <c r="D237" s="25">
        <v>2025</v>
      </c>
      <c r="E237" s="25" t="s">
        <v>105</v>
      </c>
      <c r="F237" s="40" t="s">
        <v>62</v>
      </c>
      <c r="G237" s="140" t="s">
        <v>65</v>
      </c>
      <c r="H237" s="191" t="s">
        <v>55</v>
      </c>
      <c r="I237" s="247"/>
    </row>
    <row r="238" spans="2:9" x14ac:dyDescent="0.25">
      <c r="B238" s="414"/>
      <c r="C238" s="25" t="s">
        <v>311</v>
      </c>
      <c r="D238" s="25">
        <v>2025</v>
      </c>
      <c r="E238" s="25" t="s">
        <v>105</v>
      </c>
      <c r="F238" s="40" t="s">
        <v>62</v>
      </c>
      <c r="G238" s="140" t="s">
        <v>65</v>
      </c>
      <c r="H238" s="191" t="s">
        <v>54</v>
      </c>
      <c r="I238" s="247"/>
    </row>
    <row r="239" spans="2:9" x14ac:dyDescent="0.25">
      <c r="B239" s="414"/>
      <c r="C239" s="25" t="s">
        <v>316</v>
      </c>
      <c r="D239" s="25">
        <v>2025</v>
      </c>
      <c r="E239" s="25" t="s">
        <v>108</v>
      </c>
      <c r="F239" s="40" t="s">
        <v>89</v>
      </c>
      <c r="G239" s="139" t="s">
        <v>86</v>
      </c>
      <c r="H239" s="191" t="s">
        <v>54</v>
      </c>
      <c r="I239" s="247"/>
    </row>
    <row r="240" spans="2:9" x14ac:dyDescent="0.25">
      <c r="B240" s="414"/>
      <c r="C240" s="25" t="s">
        <v>315</v>
      </c>
      <c r="D240" s="25">
        <v>2025</v>
      </c>
      <c r="E240" s="25" t="s">
        <v>108</v>
      </c>
      <c r="F240" s="40" t="s">
        <v>89</v>
      </c>
      <c r="G240" s="139" t="s">
        <v>86</v>
      </c>
      <c r="H240" s="191" t="s">
        <v>54</v>
      </c>
      <c r="I240" s="247"/>
    </row>
    <row r="241" spans="2:9" x14ac:dyDescent="0.25">
      <c r="B241" s="414"/>
      <c r="C241" s="25" t="s">
        <v>327</v>
      </c>
      <c r="D241" s="25">
        <v>2025</v>
      </c>
      <c r="E241" s="25" t="s">
        <v>109</v>
      </c>
      <c r="F241" s="40" t="s">
        <v>129</v>
      </c>
      <c r="G241" s="138" t="s">
        <v>61</v>
      </c>
      <c r="H241" s="191" t="s">
        <v>55</v>
      </c>
      <c r="I241" s="247"/>
    </row>
    <row r="242" spans="2:9" x14ac:dyDescent="0.25">
      <c r="B242" s="414"/>
      <c r="C242" s="25" t="s">
        <v>327</v>
      </c>
      <c r="D242" s="25">
        <v>2025</v>
      </c>
      <c r="E242" s="25" t="s">
        <v>110</v>
      </c>
      <c r="F242" s="40" t="s">
        <v>192</v>
      </c>
      <c r="G242" s="140" t="s">
        <v>59</v>
      </c>
      <c r="H242" s="191" t="s">
        <v>54</v>
      </c>
      <c r="I242" s="247"/>
    </row>
    <row r="243" spans="2:9" x14ac:dyDescent="0.25">
      <c r="B243" s="414"/>
      <c r="C243" s="25" t="s">
        <v>313</v>
      </c>
      <c r="D243" s="25">
        <v>2025</v>
      </c>
      <c r="E243" s="25" t="s">
        <v>112</v>
      </c>
      <c r="F243" s="40" t="s">
        <v>90</v>
      </c>
      <c r="G243" s="140" t="s">
        <v>67</v>
      </c>
      <c r="H243" s="191" t="s">
        <v>54</v>
      </c>
      <c r="I243" s="247"/>
    </row>
    <row r="244" spans="2:9" x14ac:dyDescent="0.25">
      <c r="B244" s="414"/>
      <c r="C244" s="25" t="s">
        <v>327</v>
      </c>
      <c r="D244" s="25">
        <v>2025</v>
      </c>
      <c r="E244" s="25" t="s">
        <v>112</v>
      </c>
      <c r="F244" s="40" t="s">
        <v>90</v>
      </c>
      <c r="G244" s="140" t="s">
        <v>67</v>
      </c>
      <c r="H244" s="191" t="s">
        <v>54</v>
      </c>
      <c r="I244" s="247"/>
    </row>
    <row r="245" spans="2:9" x14ac:dyDescent="0.25">
      <c r="B245" s="414"/>
      <c r="C245" s="25" t="s">
        <v>1005</v>
      </c>
      <c r="D245" s="25">
        <v>2025</v>
      </c>
      <c r="E245" s="25" t="s">
        <v>113</v>
      </c>
      <c r="F245" s="40" t="s">
        <v>88</v>
      </c>
      <c r="G245" s="139" t="s">
        <v>66</v>
      </c>
      <c r="H245" s="191" t="s">
        <v>55</v>
      </c>
      <c r="I245" s="247"/>
    </row>
    <row r="246" spans="2:9" ht="15.75" thickBot="1" x14ac:dyDescent="0.3">
      <c r="B246" s="414"/>
      <c r="C246" s="23" t="s">
        <v>1013</v>
      </c>
      <c r="D246" s="23">
        <v>2025</v>
      </c>
      <c r="E246" s="23" t="s">
        <v>115</v>
      </c>
      <c r="F246" s="41" t="s">
        <v>193</v>
      </c>
      <c r="G246" s="325" t="s">
        <v>66</v>
      </c>
      <c r="H246" s="257" t="s">
        <v>55</v>
      </c>
      <c r="I246" s="259"/>
    </row>
    <row r="247" spans="2:9" ht="15.75" thickBot="1" x14ac:dyDescent="0.3">
      <c r="B247" s="414"/>
      <c r="C247" s="38" t="s">
        <v>1005</v>
      </c>
      <c r="D247" s="38">
        <v>2025</v>
      </c>
      <c r="E247" s="38" t="s">
        <v>1034</v>
      </c>
      <c r="F247" s="163" t="s">
        <v>90</v>
      </c>
      <c r="G247" s="332" t="s">
        <v>161</v>
      </c>
      <c r="H247" s="304" t="s">
        <v>54</v>
      </c>
      <c r="I247" s="333"/>
    </row>
  </sheetData>
  <sortState xmlns:xlrd2="http://schemas.microsoft.com/office/spreadsheetml/2017/richdata2" ref="F18:G106">
    <sortCondition descending="1" ref="G18:G106"/>
    <sortCondition ref="F18:F106"/>
  </sortState>
  <mergeCells count="1">
    <mergeCell ref="C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8"/>
  <sheetViews>
    <sheetView topLeftCell="A6" zoomScaleNormal="100" workbookViewId="0">
      <selection activeCell="J2" sqref="J2"/>
    </sheetView>
  </sheetViews>
  <sheetFormatPr baseColWidth="10" defaultRowHeight="15" x14ac:dyDescent="0.25"/>
  <cols>
    <col min="1" max="1" width="14.7109375" customWidth="1"/>
    <col min="2" max="2" width="4.7109375" customWidth="1"/>
    <col min="3" max="3" width="23.140625" bestFit="1" customWidth="1"/>
    <col min="4" max="4" width="12.5703125" bestFit="1" customWidth="1"/>
    <col min="5" max="5" width="4" customWidth="1"/>
    <col min="6" max="6" width="15.85546875" customWidth="1"/>
    <col min="7" max="7" width="2.7109375" customWidth="1"/>
    <col min="8" max="8" width="14.7109375" customWidth="1"/>
    <col min="9" max="9" width="4.7109375" customWidth="1"/>
    <col min="10" max="10" width="23.140625" customWidth="1"/>
    <col min="11" max="11" width="12.5703125" customWidth="1"/>
    <col min="12" max="12" width="4" customWidth="1"/>
    <col min="13" max="13" width="17.7109375" customWidth="1"/>
    <col min="14" max="14" width="2.7109375" customWidth="1"/>
    <col min="15" max="15" width="13.85546875" customWidth="1"/>
  </cols>
  <sheetData>
    <row r="1" spans="1:17" ht="31.5" customHeight="1" thickBot="1" x14ac:dyDescent="0.3">
      <c r="A1" s="376" t="s">
        <v>224</v>
      </c>
      <c r="B1" s="377"/>
      <c r="C1" s="377"/>
      <c r="D1" s="377"/>
      <c r="E1" s="377"/>
      <c r="F1" s="377"/>
      <c r="G1" s="248"/>
      <c r="H1" s="377" t="s">
        <v>225</v>
      </c>
      <c r="I1" s="377"/>
      <c r="J1" s="377"/>
      <c r="K1" s="377"/>
      <c r="L1" s="377"/>
      <c r="M1" s="377"/>
      <c r="N1" s="248"/>
      <c r="O1" s="378"/>
      <c r="P1" s="379"/>
      <c r="Q1" s="380"/>
    </row>
    <row r="2" spans="1:17" s="14" customFormat="1" ht="31.5" customHeight="1" thickBot="1" x14ac:dyDescent="0.3">
      <c r="A2" s="13" t="s">
        <v>221</v>
      </c>
      <c r="B2" s="38" t="s">
        <v>1227</v>
      </c>
      <c r="C2" s="13" t="s">
        <v>51</v>
      </c>
      <c r="D2" s="13" t="s">
        <v>52</v>
      </c>
      <c r="E2" s="38" t="s">
        <v>1228</v>
      </c>
      <c r="F2" s="242" t="s">
        <v>968</v>
      </c>
      <c r="G2" s="246"/>
      <c r="H2" s="170" t="s">
        <v>221</v>
      </c>
      <c r="I2" s="171" t="s">
        <v>1227</v>
      </c>
      <c r="J2" s="170" t="s">
        <v>51</v>
      </c>
      <c r="K2" s="170" t="s">
        <v>52</v>
      </c>
      <c r="L2" s="38" t="s">
        <v>1228</v>
      </c>
      <c r="M2" s="242" t="s">
        <v>968</v>
      </c>
      <c r="N2" s="253"/>
      <c r="O2" s="254"/>
      <c r="P2" s="13" t="s">
        <v>967</v>
      </c>
      <c r="Q2" s="13" t="s">
        <v>437</v>
      </c>
    </row>
    <row r="3" spans="1:17" ht="31.5" customHeight="1" x14ac:dyDescent="0.25">
      <c r="A3" s="22" t="s">
        <v>845</v>
      </c>
      <c r="B3" s="22" t="s">
        <v>91</v>
      </c>
      <c r="C3" s="232" t="s">
        <v>77</v>
      </c>
      <c r="D3" s="233" t="s">
        <v>847</v>
      </c>
      <c r="E3" s="22" t="s">
        <v>55</v>
      </c>
      <c r="F3" s="243" t="s">
        <v>858</v>
      </c>
      <c r="G3" s="247"/>
      <c r="H3" s="22" t="s">
        <v>845</v>
      </c>
      <c r="I3" s="22" t="s">
        <v>91</v>
      </c>
      <c r="J3" s="232" t="s">
        <v>77</v>
      </c>
      <c r="K3" s="233" t="s">
        <v>847</v>
      </c>
      <c r="L3" s="22" t="s">
        <v>55</v>
      </c>
      <c r="M3" s="243" t="s">
        <v>743</v>
      </c>
      <c r="N3" s="247"/>
      <c r="O3" s="249" t="s">
        <v>574</v>
      </c>
      <c r="P3" s="25">
        <v>13</v>
      </c>
      <c r="Q3" s="25">
        <v>32</v>
      </c>
    </row>
    <row r="4" spans="1:17" ht="31.5" customHeight="1" thickBot="1" x14ac:dyDescent="0.3">
      <c r="A4" s="25" t="s">
        <v>845</v>
      </c>
      <c r="B4" s="25" t="s">
        <v>93</v>
      </c>
      <c r="C4" s="234" t="s">
        <v>73</v>
      </c>
      <c r="D4" s="235" t="s">
        <v>623</v>
      </c>
      <c r="E4" s="25" t="s">
        <v>55</v>
      </c>
      <c r="F4" s="244" t="s">
        <v>881</v>
      </c>
      <c r="G4" s="247"/>
      <c r="H4" s="25" t="s">
        <v>845</v>
      </c>
      <c r="I4" s="25" t="s">
        <v>93</v>
      </c>
      <c r="J4" s="234" t="s">
        <v>73</v>
      </c>
      <c r="K4" s="235" t="s">
        <v>623</v>
      </c>
      <c r="L4" s="25" t="s">
        <v>55</v>
      </c>
      <c r="M4" s="244" t="s">
        <v>577</v>
      </c>
      <c r="N4" s="247"/>
      <c r="O4" s="250" t="s">
        <v>970</v>
      </c>
      <c r="P4" s="23">
        <v>3</v>
      </c>
      <c r="Q4" s="23">
        <v>14</v>
      </c>
    </row>
    <row r="5" spans="1:17" ht="31.5" customHeight="1" thickBot="1" x14ac:dyDescent="0.3">
      <c r="A5" s="25" t="s">
        <v>845</v>
      </c>
      <c r="B5" s="25" t="s">
        <v>100</v>
      </c>
      <c r="C5" s="234" t="s">
        <v>78</v>
      </c>
      <c r="D5" s="236" t="s">
        <v>86</v>
      </c>
      <c r="E5" s="25" t="s">
        <v>55</v>
      </c>
      <c r="F5" s="244" t="s">
        <v>858</v>
      </c>
      <c r="G5" s="247"/>
      <c r="H5" s="25" t="s">
        <v>845</v>
      </c>
      <c r="I5" s="25" t="s">
        <v>95</v>
      </c>
      <c r="J5" s="234" t="s">
        <v>70</v>
      </c>
      <c r="K5" s="238" t="s">
        <v>65</v>
      </c>
      <c r="L5" s="25" t="s">
        <v>55</v>
      </c>
      <c r="M5" s="244" t="s">
        <v>577</v>
      </c>
      <c r="N5" s="251"/>
      <c r="O5" s="250" t="s">
        <v>367</v>
      </c>
      <c r="P5" s="23">
        <f>SUM(P3+P4)</f>
        <v>16</v>
      </c>
      <c r="Q5" s="23">
        <f>SUM(Q3+Q4)</f>
        <v>46</v>
      </c>
    </row>
    <row r="6" spans="1:17" ht="31.5" customHeight="1" thickBot="1" x14ac:dyDescent="0.3">
      <c r="A6" s="25" t="s">
        <v>845</v>
      </c>
      <c r="B6" s="25" t="s">
        <v>846</v>
      </c>
      <c r="C6" s="234" t="s">
        <v>131</v>
      </c>
      <c r="D6" s="236" t="s">
        <v>66</v>
      </c>
      <c r="E6" s="25" t="s">
        <v>55</v>
      </c>
      <c r="F6" s="244" t="s">
        <v>874</v>
      </c>
      <c r="G6" s="247"/>
      <c r="H6" s="25" t="s">
        <v>845</v>
      </c>
      <c r="I6" s="25" t="s">
        <v>100</v>
      </c>
      <c r="J6" s="234" t="s">
        <v>78</v>
      </c>
      <c r="K6" s="236" t="s">
        <v>86</v>
      </c>
      <c r="L6" s="25" t="s">
        <v>55</v>
      </c>
      <c r="M6" s="244" t="s">
        <v>577</v>
      </c>
      <c r="N6" s="251"/>
      <c r="O6" s="381"/>
      <c r="P6" s="381"/>
      <c r="Q6" s="252"/>
    </row>
    <row r="7" spans="1:17" ht="31.5" customHeight="1" thickBot="1" x14ac:dyDescent="0.3">
      <c r="A7" s="25" t="s">
        <v>765</v>
      </c>
      <c r="B7" s="25" t="s">
        <v>99</v>
      </c>
      <c r="C7" s="234" t="s">
        <v>76</v>
      </c>
      <c r="D7" s="236" t="s">
        <v>66</v>
      </c>
      <c r="E7" s="25" t="s">
        <v>55</v>
      </c>
      <c r="F7" s="244" t="s">
        <v>969</v>
      </c>
      <c r="G7" s="247"/>
      <c r="H7" s="25" t="s">
        <v>845</v>
      </c>
      <c r="I7" s="25" t="s">
        <v>105</v>
      </c>
      <c r="J7" s="234" t="s">
        <v>80</v>
      </c>
      <c r="K7" s="238" t="s">
        <v>65</v>
      </c>
      <c r="L7" s="25" t="s">
        <v>55</v>
      </c>
      <c r="M7" s="244" t="s">
        <v>577</v>
      </c>
      <c r="N7" s="247"/>
      <c r="O7" s="228" t="s">
        <v>971</v>
      </c>
      <c r="P7" s="13" t="s">
        <v>972</v>
      </c>
      <c r="Q7" s="246"/>
    </row>
    <row r="8" spans="1:17" ht="31.5" customHeight="1" x14ac:dyDescent="0.25">
      <c r="A8" s="25" t="s">
        <v>765</v>
      </c>
      <c r="B8" s="25" t="s">
        <v>103</v>
      </c>
      <c r="C8" s="234" t="s">
        <v>73</v>
      </c>
      <c r="D8" s="235" t="s">
        <v>767</v>
      </c>
      <c r="E8" s="25" t="s">
        <v>55</v>
      </c>
      <c r="F8" s="244" t="s">
        <v>792</v>
      </c>
      <c r="G8" s="247"/>
      <c r="H8" s="25" t="s">
        <v>845</v>
      </c>
      <c r="I8" s="25" t="s">
        <v>109</v>
      </c>
      <c r="J8" s="234" t="s">
        <v>77</v>
      </c>
      <c r="K8" s="236" t="s">
        <v>66</v>
      </c>
      <c r="L8" s="25" t="s">
        <v>54</v>
      </c>
      <c r="M8" s="244" t="s">
        <v>1035</v>
      </c>
      <c r="N8" s="247"/>
      <c r="O8" s="48" t="s">
        <v>482</v>
      </c>
      <c r="P8" s="25">
        <v>4</v>
      </c>
      <c r="Q8" s="246"/>
    </row>
    <row r="9" spans="1:17" ht="31.5" customHeight="1" x14ac:dyDescent="0.25">
      <c r="A9" s="25" t="s">
        <v>719</v>
      </c>
      <c r="B9" s="25" t="s">
        <v>100</v>
      </c>
      <c r="C9" s="237" t="s">
        <v>191</v>
      </c>
      <c r="D9" s="236" t="s">
        <v>86</v>
      </c>
      <c r="E9" s="25" t="s">
        <v>55</v>
      </c>
      <c r="F9" s="244" t="s">
        <v>688</v>
      </c>
      <c r="G9" s="247"/>
      <c r="H9" s="25" t="s">
        <v>845</v>
      </c>
      <c r="I9" s="25" t="s">
        <v>111</v>
      </c>
      <c r="J9" s="234" t="s">
        <v>73</v>
      </c>
      <c r="K9" s="235" t="s">
        <v>56</v>
      </c>
      <c r="L9" s="25" t="s">
        <v>54</v>
      </c>
      <c r="M9" s="244" t="s">
        <v>577</v>
      </c>
      <c r="N9" s="247"/>
      <c r="O9" s="48" t="s">
        <v>603</v>
      </c>
      <c r="P9" s="25">
        <v>3</v>
      </c>
      <c r="Q9" s="246"/>
    </row>
    <row r="10" spans="1:17" ht="31.5" customHeight="1" x14ac:dyDescent="0.25">
      <c r="A10" s="25" t="s">
        <v>618</v>
      </c>
      <c r="B10" s="25" t="s">
        <v>92</v>
      </c>
      <c r="C10" s="234" t="s">
        <v>58</v>
      </c>
      <c r="D10" s="236" t="s">
        <v>66</v>
      </c>
      <c r="E10" s="25" t="s">
        <v>55</v>
      </c>
      <c r="F10" s="244" t="s">
        <v>688</v>
      </c>
      <c r="G10" s="247"/>
      <c r="H10" s="25" t="s">
        <v>845</v>
      </c>
      <c r="I10" s="25" t="s">
        <v>116</v>
      </c>
      <c r="J10" s="234" t="s">
        <v>849</v>
      </c>
      <c r="K10" s="238" t="s">
        <v>68</v>
      </c>
      <c r="L10" s="25" t="s">
        <v>54</v>
      </c>
      <c r="M10" s="244" t="s">
        <v>577</v>
      </c>
      <c r="N10" s="247"/>
      <c r="O10" s="48" t="s">
        <v>335</v>
      </c>
      <c r="P10" s="25">
        <v>2</v>
      </c>
      <c r="Q10" s="246"/>
    </row>
    <row r="11" spans="1:17" ht="31.5" customHeight="1" x14ac:dyDescent="0.25">
      <c r="A11" s="25" t="s">
        <v>618</v>
      </c>
      <c r="B11" s="25" t="s">
        <v>96</v>
      </c>
      <c r="C11" s="234" t="s">
        <v>621</v>
      </c>
      <c r="D11" s="238" t="s">
        <v>59</v>
      </c>
      <c r="E11" s="25" t="s">
        <v>55</v>
      </c>
      <c r="F11" s="244" t="s">
        <v>688</v>
      </c>
      <c r="G11" s="247"/>
      <c r="H11" s="25" t="s">
        <v>845</v>
      </c>
      <c r="I11" s="25" t="s">
        <v>117</v>
      </c>
      <c r="J11" s="234" t="s">
        <v>58</v>
      </c>
      <c r="K11" s="236" t="s">
        <v>66</v>
      </c>
      <c r="L11" s="25" t="s">
        <v>55</v>
      </c>
      <c r="M11" s="244" t="s">
        <v>577</v>
      </c>
      <c r="N11" s="247"/>
      <c r="O11" s="48" t="s">
        <v>378</v>
      </c>
      <c r="P11" s="25">
        <v>1</v>
      </c>
      <c r="Q11" s="246"/>
    </row>
    <row r="12" spans="1:17" ht="31.5" customHeight="1" thickBot="1" x14ac:dyDescent="0.3">
      <c r="A12" s="76" t="s">
        <v>619</v>
      </c>
      <c r="B12" s="76" t="s">
        <v>92</v>
      </c>
      <c r="C12" s="79" t="s">
        <v>58</v>
      </c>
      <c r="D12" s="80" t="s">
        <v>620</v>
      </c>
      <c r="E12" s="76" t="s">
        <v>54</v>
      </c>
      <c r="F12" s="244" t="s">
        <v>688</v>
      </c>
      <c r="G12" s="247"/>
      <c r="H12" s="25" t="s">
        <v>845</v>
      </c>
      <c r="I12" s="25" t="s">
        <v>119</v>
      </c>
      <c r="J12" s="234" t="s">
        <v>130</v>
      </c>
      <c r="K12" s="238" t="s">
        <v>84</v>
      </c>
      <c r="L12" s="25" t="s">
        <v>54</v>
      </c>
      <c r="M12" s="244" t="s">
        <v>577</v>
      </c>
      <c r="N12" s="247"/>
      <c r="O12" s="53" t="s">
        <v>342</v>
      </c>
      <c r="P12" s="23">
        <v>1</v>
      </c>
      <c r="Q12" s="256"/>
    </row>
    <row r="13" spans="1:17" ht="31.5" customHeight="1" x14ac:dyDescent="0.25">
      <c r="A13" s="76" t="s">
        <v>619</v>
      </c>
      <c r="B13" s="76" t="s">
        <v>101</v>
      </c>
      <c r="C13" s="79" t="s">
        <v>62</v>
      </c>
      <c r="D13" s="80" t="s">
        <v>624</v>
      </c>
      <c r="E13" s="76" t="s">
        <v>55</v>
      </c>
      <c r="F13" s="245" t="s">
        <v>982</v>
      </c>
      <c r="G13" s="247"/>
      <c r="H13" s="25" t="s">
        <v>765</v>
      </c>
      <c r="I13" s="25" t="s">
        <v>104</v>
      </c>
      <c r="J13" s="234" t="s">
        <v>58</v>
      </c>
      <c r="K13" s="238" t="s">
        <v>84</v>
      </c>
      <c r="L13" s="25" t="s">
        <v>54</v>
      </c>
      <c r="M13" s="244" t="s">
        <v>577</v>
      </c>
      <c r="N13" s="247"/>
    </row>
    <row r="14" spans="1:17" ht="31.5" customHeight="1" x14ac:dyDescent="0.25">
      <c r="A14" s="25" t="s">
        <v>408</v>
      </c>
      <c r="B14" s="25" t="s">
        <v>105</v>
      </c>
      <c r="C14" s="234" t="s">
        <v>406</v>
      </c>
      <c r="D14" s="238" t="s">
        <v>409</v>
      </c>
      <c r="E14" s="25" t="s">
        <v>54</v>
      </c>
      <c r="F14" s="244" t="s">
        <v>611</v>
      </c>
      <c r="G14" s="247"/>
      <c r="H14" s="25" t="s">
        <v>765</v>
      </c>
      <c r="I14" s="25" t="s">
        <v>108</v>
      </c>
      <c r="J14" s="234" t="s">
        <v>57</v>
      </c>
      <c r="K14" s="238" t="s">
        <v>59</v>
      </c>
      <c r="L14" s="25" t="s">
        <v>54</v>
      </c>
      <c r="M14" s="244" t="s">
        <v>743</v>
      </c>
      <c r="N14" s="247"/>
    </row>
    <row r="15" spans="1:17" ht="31.5" customHeight="1" x14ac:dyDescent="0.25">
      <c r="A15" s="25" t="s">
        <v>408</v>
      </c>
      <c r="B15" s="25" t="s">
        <v>107</v>
      </c>
      <c r="C15" s="234" t="s">
        <v>80</v>
      </c>
      <c r="D15" s="235" t="s">
        <v>56</v>
      </c>
      <c r="E15" s="25" t="s">
        <v>54</v>
      </c>
      <c r="F15" s="245" t="s">
        <v>569</v>
      </c>
      <c r="G15" s="247"/>
      <c r="H15" s="25" t="s">
        <v>719</v>
      </c>
      <c r="I15" s="25" t="s">
        <v>95</v>
      </c>
      <c r="J15" s="237" t="s">
        <v>131</v>
      </c>
      <c r="K15" s="235" t="s">
        <v>56</v>
      </c>
      <c r="L15" s="25" t="s">
        <v>55</v>
      </c>
      <c r="M15" s="244" t="s">
        <v>1035</v>
      </c>
      <c r="N15" s="247"/>
    </row>
    <row r="16" spans="1:17" ht="31.5" customHeight="1" x14ac:dyDescent="0.25">
      <c r="A16" s="25">
        <v>2023</v>
      </c>
      <c r="B16" s="25" t="s">
        <v>100</v>
      </c>
      <c r="C16" s="237" t="s">
        <v>74</v>
      </c>
      <c r="D16" s="235" t="s">
        <v>61</v>
      </c>
      <c r="E16" s="25" t="s">
        <v>54</v>
      </c>
      <c r="F16" s="245" t="s">
        <v>570</v>
      </c>
      <c r="G16" s="247"/>
      <c r="H16" s="25" t="s">
        <v>719</v>
      </c>
      <c r="I16" s="25" t="s">
        <v>96</v>
      </c>
      <c r="J16" s="234" t="s">
        <v>71</v>
      </c>
      <c r="K16" s="235" t="s">
        <v>64</v>
      </c>
      <c r="L16" s="25" t="s">
        <v>54</v>
      </c>
      <c r="M16" s="244" t="s">
        <v>743</v>
      </c>
      <c r="N16" s="247"/>
    </row>
    <row r="17" spans="1:14" ht="31.5" customHeight="1" x14ac:dyDescent="0.25">
      <c r="A17" s="25" t="s">
        <v>241</v>
      </c>
      <c r="B17" s="25" t="s">
        <v>112</v>
      </c>
      <c r="C17" s="237" t="s">
        <v>132</v>
      </c>
      <c r="D17" s="238" t="s">
        <v>67</v>
      </c>
      <c r="E17" s="25" t="s">
        <v>55</v>
      </c>
      <c r="F17" s="245" t="s">
        <v>576</v>
      </c>
      <c r="G17" s="247"/>
      <c r="H17" s="25" t="s">
        <v>720</v>
      </c>
      <c r="I17" s="25" t="s">
        <v>94</v>
      </c>
      <c r="J17" s="234" t="s">
        <v>131</v>
      </c>
      <c r="K17" s="238" t="s">
        <v>161</v>
      </c>
      <c r="L17" s="25" t="s">
        <v>54</v>
      </c>
      <c r="M17" s="244" t="s">
        <v>577</v>
      </c>
      <c r="N17" s="247"/>
    </row>
    <row r="18" spans="1:14" ht="31.5" customHeight="1" thickBot="1" x14ac:dyDescent="0.3">
      <c r="A18" s="23" t="s">
        <v>243</v>
      </c>
      <c r="B18" s="23" t="s">
        <v>101</v>
      </c>
      <c r="C18" s="239" t="s">
        <v>88</v>
      </c>
      <c r="D18" s="240" t="s">
        <v>61</v>
      </c>
      <c r="E18" s="23" t="s">
        <v>54</v>
      </c>
      <c r="F18" s="265" t="s">
        <v>966</v>
      </c>
      <c r="G18" s="247"/>
      <c r="H18" s="25" t="s">
        <v>618</v>
      </c>
      <c r="I18" s="25" t="s">
        <v>92</v>
      </c>
      <c r="J18" s="234" t="s">
        <v>58</v>
      </c>
      <c r="K18" s="236" t="s">
        <v>66</v>
      </c>
      <c r="L18" s="25" t="s">
        <v>55</v>
      </c>
      <c r="M18" s="244" t="s">
        <v>577</v>
      </c>
      <c r="N18" s="247"/>
    </row>
    <row r="19" spans="1:14" ht="31.5" customHeight="1" x14ac:dyDescent="0.25">
      <c r="G19" s="247"/>
      <c r="H19" s="25" t="s">
        <v>618</v>
      </c>
      <c r="I19" s="25" t="s">
        <v>95</v>
      </c>
      <c r="J19" s="237" t="s">
        <v>131</v>
      </c>
      <c r="K19" s="238" t="s">
        <v>161</v>
      </c>
      <c r="L19" s="25" t="s">
        <v>54</v>
      </c>
      <c r="M19" s="244" t="s">
        <v>577</v>
      </c>
      <c r="N19" s="247"/>
    </row>
    <row r="20" spans="1:14" ht="31.5" customHeight="1" x14ac:dyDescent="0.25">
      <c r="G20" s="247"/>
      <c r="H20" s="25" t="s">
        <v>618</v>
      </c>
      <c r="I20" s="25" t="s">
        <v>96</v>
      </c>
      <c r="J20" s="234" t="s">
        <v>621</v>
      </c>
      <c r="K20" s="238" t="s">
        <v>59</v>
      </c>
      <c r="L20" s="25" t="s">
        <v>55</v>
      </c>
      <c r="M20" s="244" t="s">
        <v>577</v>
      </c>
      <c r="N20" s="247"/>
    </row>
    <row r="21" spans="1:14" ht="31.5" customHeight="1" x14ac:dyDescent="0.25">
      <c r="G21" s="247"/>
      <c r="H21" s="25" t="s">
        <v>618</v>
      </c>
      <c r="I21" s="25" t="s">
        <v>108</v>
      </c>
      <c r="J21" s="82" t="s">
        <v>82</v>
      </c>
      <c r="K21" s="81" t="s">
        <v>84</v>
      </c>
      <c r="L21" s="76" t="s">
        <v>55</v>
      </c>
      <c r="M21" s="244" t="s">
        <v>577</v>
      </c>
      <c r="N21" s="247"/>
    </row>
    <row r="22" spans="1:14" ht="31.5" customHeight="1" x14ac:dyDescent="0.25">
      <c r="G22" s="247"/>
      <c r="H22" s="76" t="s">
        <v>619</v>
      </c>
      <c r="I22" s="76" t="s">
        <v>102</v>
      </c>
      <c r="J22" s="79" t="s">
        <v>73</v>
      </c>
      <c r="K22" s="81" t="s">
        <v>60</v>
      </c>
      <c r="L22" s="76" t="s">
        <v>54</v>
      </c>
      <c r="M22" s="244" t="s">
        <v>577</v>
      </c>
      <c r="N22" s="247"/>
    </row>
    <row r="23" spans="1:14" ht="31.5" customHeight="1" x14ac:dyDescent="0.25">
      <c r="G23" s="247"/>
      <c r="H23" s="76" t="s">
        <v>619</v>
      </c>
      <c r="I23" s="76" t="s">
        <v>103</v>
      </c>
      <c r="J23" s="79" t="s">
        <v>57</v>
      </c>
      <c r="K23" s="80" t="s">
        <v>86</v>
      </c>
      <c r="L23" s="76" t="s">
        <v>55</v>
      </c>
      <c r="M23" s="244" t="s">
        <v>577</v>
      </c>
      <c r="N23" s="247"/>
    </row>
    <row r="24" spans="1:14" ht="31.5" customHeight="1" x14ac:dyDescent="0.25">
      <c r="G24" s="247"/>
      <c r="H24" s="76" t="s">
        <v>619</v>
      </c>
      <c r="I24" s="76" t="s">
        <v>104</v>
      </c>
      <c r="J24" s="82" t="s">
        <v>71</v>
      </c>
      <c r="K24" s="80" t="s">
        <v>66</v>
      </c>
      <c r="L24" s="76" t="s">
        <v>54</v>
      </c>
      <c r="M24" s="244" t="s">
        <v>577</v>
      </c>
      <c r="N24" s="247"/>
    </row>
    <row r="25" spans="1:14" ht="31.5" customHeight="1" x14ac:dyDescent="0.25">
      <c r="G25" s="247"/>
      <c r="H25" s="76" t="s">
        <v>619</v>
      </c>
      <c r="I25" s="76" t="s">
        <v>108</v>
      </c>
      <c r="J25" s="82" t="s">
        <v>82</v>
      </c>
      <c r="K25" s="81" t="s">
        <v>161</v>
      </c>
      <c r="L25" s="76" t="s">
        <v>54</v>
      </c>
      <c r="M25" s="244" t="s">
        <v>577</v>
      </c>
      <c r="N25" s="247"/>
    </row>
    <row r="26" spans="1:14" ht="31.5" customHeight="1" x14ac:dyDescent="0.25">
      <c r="G26" s="247"/>
      <c r="H26" s="76" t="s">
        <v>407</v>
      </c>
      <c r="I26" s="76" t="s">
        <v>98</v>
      </c>
      <c r="J26" s="79" t="s">
        <v>78</v>
      </c>
      <c r="K26" s="83" t="s">
        <v>84</v>
      </c>
      <c r="L26" s="76" t="s">
        <v>55</v>
      </c>
      <c r="M26" s="244" t="s">
        <v>577</v>
      </c>
      <c r="N26" s="247"/>
    </row>
    <row r="27" spans="1:14" ht="31.5" customHeight="1" x14ac:dyDescent="0.25">
      <c r="G27" s="247"/>
      <c r="H27" s="25" t="s">
        <v>407</v>
      </c>
      <c r="I27" s="25" t="s">
        <v>104</v>
      </c>
      <c r="J27" s="234" t="s">
        <v>74</v>
      </c>
      <c r="K27" s="235" t="s">
        <v>61</v>
      </c>
      <c r="L27" s="25" t="s">
        <v>54</v>
      </c>
      <c r="M27" s="191" t="s">
        <v>578</v>
      </c>
      <c r="N27" s="247"/>
    </row>
    <row r="28" spans="1:14" ht="31.5" customHeight="1" x14ac:dyDescent="0.25">
      <c r="G28" s="247"/>
      <c r="H28" s="25" t="s">
        <v>407</v>
      </c>
      <c r="I28" s="25" t="s">
        <v>108</v>
      </c>
      <c r="J28" s="234" t="s">
        <v>83</v>
      </c>
      <c r="K28" s="241" t="s">
        <v>68</v>
      </c>
      <c r="L28" s="25" t="s">
        <v>54</v>
      </c>
      <c r="M28" s="245" t="s">
        <v>577</v>
      </c>
      <c r="N28" s="247"/>
    </row>
    <row r="29" spans="1:14" ht="31.5" customHeight="1" x14ac:dyDescent="0.25">
      <c r="G29" s="247"/>
      <c r="H29" s="25" t="s">
        <v>408</v>
      </c>
      <c r="I29" s="25" t="s">
        <v>94</v>
      </c>
      <c r="J29" s="234" t="s">
        <v>70</v>
      </c>
      <c r="K29" s="235" t="s">
        <v>56</v>
      </c>
      <c r="L29" s="25" t="s">
        <v>55</v>
      </c>
      <c r="M29" s="191" t="s">
        <v>578</v>
      </c>
      <c r="N29" s="247"/>
    </row>
    <row r="30" spans="1:14" ht="31.5" customHeight="1" x14ac:dyDescent="0.25">
      <c r="G30" s="247"/>
      <c r="H30" s="25" t="s">
        <v>408</v>
      </c>
      <c r="I30" s="25" t="s">
        <v>95</v>
      </c>
      <c r="J30" s="234" t="s">
        <v>82</v>
      </c>
      <c r="K30" s="238" t="s">
        <v>59</v>
      </c>
      <c r="L30" s="25" t="s">
        <v>54</v>
      </c>
      <c r="M30" s="191" t="s">
        <v>578</v>
      </c>
      <c r="N30" s="247"/>
    </row>
    <row r="31" spans="1:14" ht="31.5" customHeight="1" x14ac:dyDescent="0.25">
      <c r="G31" s="247"/>
      <c r="H31" s="25" t="s">
        <v>408</v>
      </c>
      <c r="I31" s="25" t="s">
        <v>98</v>
      </c>
      <c r="J31" s="234" t="s">
        <v>78</v>
      </c>
      <c r="K31" s="238" t="s">
        <v>59</v>
      </c>
      <c r="L31" s="25" t="s">
        <v>54</v>
      </c>
      <c r="M31" s="245" t="s">
        <v>577</v>
      </c>
      <c r="N31" s="247"/>
    </row>
    <row r="32" spans="1:14" ht="31.5" customHeight="1" x14ac:dyDescent="0.25">
      <c r="G32" s="247"/>
      <c r="H32" s="25" t="s">
        <v>408</v>
      </c>
      <c r="I32" s="25" t="s">
        <v>134</v>
      </c>
      <c r="J32" s="234" t="s">
        <v>72</v>
      </c>
      <c r="K32" s="238" t="s">
        <v>60</v>
      </c>
      <c r="L32" s="25" t="s">
        <v>54</v>
      </c>
      <c r="M32" s="245" t="s">
        <v>577</v>
      </c>
      <c r="N32" s="247"/>
    </row>
    <row r="33" spans="7:14" ht="31.5" customHeight="1" x14ac:dyDescent="0.25">
      <c r="G33" s="247"/>
      <c r="H33" s="25">
        <v>2023</v>
      </c>
      <c r="I33" s="25" t="s">
        <v>93</v>
      </c>
      <c r="J33" s="237" t="s">
        <v>70</v>
      </c>
      <c r="K33" s="238" t="s">
        <v>59</v>
      </c>
      <c r="L33" s="25" t="s">
        <v>54</v>
      </c>
      <c r="M33" s="191" t="s">
        <v>578</v>
      </c>
      <c r="N33" s="247"/>
    </row>
    <row r="34" spans="7:14" ht="31.5" customHeight="1" x14ac:dyDescent="0.25">
      <c r="G34" s="247"/>
      <c r="H34" s="25">
        <v>2023</v>
      </c>
      <c r="I34" s="25" t="s">
        <v>103</v>
      </c>
      <c r="J34" s="237" t="s">
        <v>79</v>
      </c>
      <c r="K34" s="238" t="s">
        <v>67</v>
      </c>
      <c r="L34" s="25" t="s">
        <v>54</v>
      </c>
      <c r="M34" s="191" t="s">
        <v>577</v>
      </c>
      <c r="N34" s="247"/>
    </row>
    <row r="35" spans="7:14" ht="31.5" customHeight="1" x14ac:dyDescent="0.25">
      <c r="G35" s="247"/>
      <c r="H35" s="25">
        <v>2023</v>
      </c>
      <c r="I35" s="25" t="s">
        <v>126</v>
      </c>
      <c r="J35" s="237" t="s">
        <v>83</v>
      </c>
      <c r="K35" s="238" t="s">
        <v>68</v>
      </c>
      <c r="L35" s="25" t="s">
        <v>54</v>
      </c>
      <c r="M35" s="191" t="s">
        <v>577</v>
      </c>
      <c r="N35" s="247"/>
    </row>
    <row r="36" spans="7:14" ht="31.5" customHeight="1" x14ac:dyDescent="0.25">
      <c r="G36" s="247"/>
      <c r="H36" s="25" t="s">
        <v>241</v>
      </c>
      <c r="I36" s="25" t="s">
        <v>92</v>
      </c>
      <c r="J36" s="237" t="s">
        <v>87</v>
      </c>
      <c r="K36" s="235" t="s">
        <v>56</v>
      </c>
      <c r="L36" s="25" t="s">
        <v>55</v>
      </c>
      <c r="M36" s="191" t="s">
        <v>577</v>
      </c>
      <c r="N36" s="247"/>
    </row>
    <row r="37" spans="7:14" ht="31.5" customHeight="1" x14ac:dyDescent="0.25">
      <c r="G37" s="247"/>
      <c r="H37" s="25" t="s">
        <v>241</v>
      </c>
      <c r="I37" s="25" t="s">
        <v>94</v>
      </c>
      <c r="J37" s="237" t="s">
        <v>72</v>
      </c>
      <c r="K37" s="236" t="s">
        <v>86</v>
      </c>
      <c r="L37" s="25" t="s">
        <v>55</v>
      </c>
      <c r="M37" s="191" t="s">
        <v>577</v>
      </c>
      <c r="N37" s="247"/>
    </row>
    <row r="38" spans="7:14" ht="31.5" customHeight="1" x14ac:dyDescent="0.25">
      <c r="G38" s="247"/>
      <c r="H38" s="25" t="s">
        <v>241</v>
      </c>
      <c r="I38" s="25" t="s">
        <v>95</v>
      </c>
      <c r="J38" s="237" t="s">
        <v>89</v>
      </c>
      <c r="K38" s="238" t="s">
        <v>59</v>
      </c>
      <c r="L38" s="25" t="s">
        <v>54</v>
      </c>
      <c r="M38" s="191" t="s">
        <v>577</v>
      </c>
      <c r="N38" s="247"/>
    </row>
    <row r="39" spans="7:14" ht="31.5" customHeight="1" x14ac:dyDescent="0.25">
      <c r="G39" s="247"/>
      <c r="H39" s="25" t="s">
        <v>241</v>
      </c>
      <c r="I39" s="25" t="s">
        <v>106</v>
      </c>
      <c r="J39" s="237" t="s">
        <v>58</v>
      </c>
      <c r="K39" s="236" t="s">
        <v>66</v>
      </c>
      <c r="L39" s="25" t="s">
        <v>55</v>
      </c>
      <c r="M39" s="191" t="s">
        <v>575</v>
      </c>
      <c r="N39" s="247"/>
    </row>
    <row r="40" spans="7:14" ht="31.5" customHeight="1" x14ac:dyDescent="0.25">
      <c r="G40" s="247"/>
      <c r="H40" s="25" t="s">
        <v>241</v>
      </c>
      <c r="I40" s="25" t="s">
        <v>111</v>
      </c>
      <c r="J40" s="237" t="s">
        <v>80</v>
      </c>
      <c r="K40" s="238" t="s">
        <v>60</v>
      </c>
      <c r="L40" s="25" t="s">
        <v>54</v>
      </c>
      <c r="M40" s="191" t="s">
        <v>577</v>
      </c>
      <c r="N40" s="247"/>
    </row>
    <row r="41" spans="7:14" ht="31.5" customHeight="1" x14ac:dyDescent="0.25">
      <c r="G41" s="247"/>
      <c r="H41" s="25" t="s">
        <v>242</v>
      </c>
      <c r="I41" s="25" t="s">
        <v>94</v>
      </c>
      <c r="J41" s="237" t="s">
        <v>72</v>
      </c>
      <c r="K41" s="235" t="s">
        <v>61</v>
      </c>
      <c r="L41" s="25" t="s">
        <v>54</v>
      </c>
      <c r="M41" s="191" t="s">
        <v>575</v>
      </c>
      <c r="N41" s="247"/>
    </row>
    <row r="42" spans="7:14" ht="31.5" customHeight="1" x14ac:dyDescent="0.25">
      <c r="G42" s="247"/>
      <c r="H42" s="25" t="s">
        <v>242</v>
      </c>
      <c r="I42" s="25" t="s">
        <v>99</v>
      </c>
      <c r="J42" s="237" t="s">
        <v>62</v>
      </c>
      <c r="K42" s="238" t="s">
        <v>60</v>
      </c>
      <c r="L42" s="25" t="s">
        <v>55</v>
      </c>
      <c r="M42" s="191" t="s">
        <v>574</v>
      </c>
      <c r="N42" s="247"/>
    </row>
    <row r="43" spans="7:14" ht="31.5" customHeight="1" x14ac:dyDescent="0.25">
      <c r="G43" s="247"/>
      <c r="H43" s="25">
        <v>2025</v>
      </c>
      <c r="I43" s="25" t="s">
        <v>100</v>
      </c>
      <c r="J43" s="237" t="s">
        <v>129</v>
      </c>
      <c r="K43" s="238" t="s">
        <v>60</v>
      </c>
      <c r="L43" s="25" t="s">
        <v>54</v>
      </c>
      <c r="M43" s="191" t="s">
        <v>573</v>
      </c>
      <c r="N43" s="247"/>
    </row>
    <row r="44" spans="7:14" ht="31.5" customHeight="1" x14ac:dyDescent="0.25">
      <c r="G44" s="247"/>
      <c r="H44" s="25">
        <v>2025</v>
      </c>
      <c r="I44" s="25" t="s">
        <v>97</v>
      </c>
      <c r="J44" s="237" t="s">
        <v>192</v>
      </c>
      <c r="K44" s="236" t="s">
        <v>53</v>
      </c>
      <c r="L44" s="25" t="s">
        <v>55</v>
      </c>
      <c r="M44" s="191" t="s">
        <v>609</v>
      </c>
      <c r="N44" s="247"/>
    </row>
    <row r="45" spans="7:14" ht="31.5" customHeight="1" x14ac:dyDescent="0.25">
      <c r="G45" s="247"/>
      <c r="H45" s="25">
        <v>2025</v>
      </c>
      <c r="I45" s="25" t="s">
        <v>101</v>
      </c>
      <c r="J45" s="237" t="s">
        <v>75</v>
      </c>
      <c r="K45" s="238" t="s">
        <v>60</v>
      </c>
      <c r="L45" s="25" t="s">
        <v>55</v>
      </c>
      <c r="M45" s="191" t="s">
        <v>577</v>
      </c>
      <c r="N45" s="247"/>
    </row>
    <row r="46" spans="7:14" ht="31.5" customHeight="1" x14ac:dyDescent="0.25">
      <c r="G46" s="247"/>
      <c r="H46" s="25">
        <v>2025</v>
      </c>
      <c r="I46" s="25" t="s">
        <v>102</v>
      </c>
      <c r="J46" s="237" t="s">
        <v>193</v>
      </c>
      <c r="K46" s="238" t="s">
        <v>60</v>
      </c>
      <c r="L46" s="25" t="s">
        <v>54</v>
      </c>
      <c r="M46" s="191" t="s">
        <v>577</v>
      </c>
      <c r="N46" s="247"/>
    </row>
    <row r="47" spans="7:14" ht="31.5" customHeight="1" x14ac:dyDescent="0.25">
      <c r="G47" s="247"/>
      <c r="H47" s="25">
        <v>2025</v>
      </c>
      <c r="I47" s="25" t="s">
        <v>112</v>
      </c>
      <c r="J47" s="237" t="s">
        <v>90</v>
      </c>
      <c r="K47" s="238" t="s">
        <v>67</v>
      </c>
      <c r="L47" s="25" t="s">
        <v>54</v>
      </c>
      <c r="M47" s="25" t="s">
        <v>577</v>
      </c>
      <c r="N47" s="247"/>
    </row>
    <row r="48" spans="7:14" ht="31.5" customHeight="1" thickBot="1" x14ac:dyDescent="0.3">
      <c r="G48" s="259"/>
      <c r="H48" s="23">
        <v>2025</v>
      </c>
      <c r="I48" s="23" t="s">
        <v>1034</v>
      </c>
      <c r="J48" s="239" t="s">
        <v>90</v>
      </c>
      <c r="K48" s="264" t="s">
        <v>161</v>
      </c>
      <c r="L48" s="23" t="s">
        <v>54</v>
      </c>
      <c r="M48" s="257" t="s">
        <v>1035</v>
      </c>
      <c r="N48" s="259"/>
    </row>
  </sheetData>
  <mergeCells count="4">
    <mergeCell ref="A1:F1"/>
    <mergeCell ref="H1:M1"/>
    <mergeCell ref="O1:Q1"/>
    <mergeCell ref="O6:P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36"/>
  <sheetViews>
    <sheetView zoomScaleNormal="100" workbookViewId="0">
      <pane xSplit="10" ySplit="2" topLeftCell="AE6" activePane="bottomRight" state="frozen"/>
      <selection pane="topRight" activeCell="P1" sqref="P1"/>
      <selection pane="bottomLeft" activeCell="A4" sqref="A4"/>
      <selection pane="bottomRight" activeCell="AL4" sqref="AL4"/>
    </sheetView>
  </sheetViews>
  <sheetFormatPr baseColWidth="10" defaultRowHeight="15" x14ac:dyDescent="0.25"/>
  <cols>
    <col min="1" max="1" width="5.85546875" customWidth="1"/>
    <col min="2" max="2" width="20.42578125" customWidth="1"/>
    <col min="3" max="3" width="19.85546875" customWidth="1"/>
    <col min="4" max="4" width="9.28515625" style="1" customWidth="1"/>
    <col min="5" max="5" width="12.28515625" style="1" bestFit="1" customWidth="1"/>
    <col min="6" max="6" width="11.140625" style="1" bestFit="1" customWidth="1"/>
    <col min="7" max="7" width="7.5703125" style="1" customWidth="1"/>
    <col min="8" max="8" width="6.7109375" style="1" customWidth="1"/>
    <col min="9" max="9" width="9.5703125" style="1" bestFit="1" customWidth="1"/>
    <col min="10" max="10" width="9.85546875" style="1" bestFit="1" customWidth="1"/>
    <col min="11" max="11" width="17.85546875" style="1" customWidth="1"/>
    <col min="12" max="12" width="16.28515625" style="1" customWidth="1"/>
    <col min="13" max="13" width="14.85546875" style="1" customWidth="1"/>
    <col min="14" max="14" width="14.42578125" style="1" customWidth="1"/>
    <col min="15" max="15" width="20" style="1" customWidth="1"/>
    <col min="16" max="16" width="19.7109375" style="1" customWidth="1"/>
    <col min="17" max="17" width="18.28515625" style="1" customWidth="1"/>
    <col min="18" max="18" width="19" style="1" customWidth="1"/>
    <col min="19" max="19" width="19.140625" style="1" customWidth="1"/>
    <col min="20" max="20" width="16.7109375" style="1" customWidth="1"/>
    <col min="21" max="22" width="16.42578125" style="1" customWidth="1"/>
    <col min="23" max="23" width="19.5703125" style="1" customWidth="1"/>
    <col min="24" max="24" width="17.5703125" style="1" customWidth="1"/>
    <col min="25" max="25" width="15.42578125" customWidth="1"/>
    <col min="26" max="26" width="16" customWidth="1"/>
    <col min="27" max="27" width="17.85546875" customWidth="1"/>
    <col min="28" max="28" width="20.28515625" customWidth="1"/>
    <col min="29" max="29" width="20.5703125" customWidth="1"/>
    <col min="30" max="30" width="17.85546875" customWidth="1"/>
    <col min="31" max="31" width="19.85546875" customWidth="1"/>
    <col min="32" max="32" width="18.5703125" customWidth="1"/>
    <col min="33" max="38" width="17.85546875" customWidth="1"/>
    <col min="39" max="39" width="14.5703125" customWidth="1"/>
  </cols>
  <sheetData>
    <row r="1" spans="1:39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12" t="s">
        <v>194</v>
      </c>
      <c r="L1" s="12" t="s">
        <v>196</v>
      </c>
      <c r="M1" s="12" t="s">
        <v>195</v>
      </c>
      <c r="N1" s="12" t="s">
        <v>197</v>
      </c>
      <c r="O1" s="12" t="s">
        <v>198</v>
      </c>
      <c r="P1" s="12" t="s">
        <v>445</v>
      </c>
      <c r="Q1" s="12" t="s">
        <v>523</v>
      </c>
      <c r="R1" s="12" t="s">
        <v>705</v>
      </c>
      <c r="S1" s="12" t="s">
        <v>704</v>
      </c>
      <c r="T1" s="12" t="s">
        <v>764</v>
      </c>
      <c r="U1" s="12" t="s">
        <v>1014</v>
      </c>
      <c r="V1" s="12" t="s">
        <v>1015</v>
      </c>
      <c r="W1" s="24" t="s">
        <v>1016</v>
      </c>
      <c r="X1" s="12" t="s">
        <v>1020</v>
      </c>
      <c r="Y1" s="12" t="s">
        <v>1021</v>
      </c>
      <c r="Z1" s="12" t="s">
        <v>1022</v>
      </c>
      <c r="AA1" s="12" t="s">
        <v>1019</v>
      </c>
      <c r="AB1" s="12" t="s">
        <v>1018</v>
      </c>
      <c r="AC1" s="12" t="s">
        <v>1017</v>
      </c>
      <c r="AD1" s="12" t="s">
        <v>1023</v>
      </c>
      <c r="AE1" s="12" t="s">
        <v>1024</v>
      </c>
      <c r="AF1" s="12" t="s">
        <v>1025</v>
      </c>
      <c r="AG1" s="12" t="s">
        <v>1026</v>
      </c>
      <c r="AH1" s="12" t="s">
        <v>1029</v>
      </c>
      <c r="AI1" s="12" t="s">
        <v>1028</v>
      </c>
      <c r="AJ1" s="24" t="s">
        <v>1027</v>
      </c>
      <c r="AK1" s="12" t="s">
        <v>1033</v>
      </c>
      <c r="AL1" s="12" t="s">
        <v>1032</v>
      </c>
      <c r="AM1" s="12" t="s">
        <v>199</v>
      </c>
    </row>
    <row r="2" spans="1:39" s="1" customFormat="1" ht="30" customHeight="1" thickBot="1" x14ac:dyDescent="0.3">
      <c r="A2" s="55" t="s">
        <v>137</v>
      </c>
      <c r="B2" s="55" t="s">
        <v>26</v>
      </c>
      <c r="C2" s="55" t="s">
        <v>25</v>
      </c>
      <c r="D2" s="13" t="s">
        <v>27</v>
      </c>
      <c r="E2" s="229" t="s">
        <v>28</v>
      </c>
      <c r="F2" s="54" t="s">
        <v>32</v>
      </c>
      <c r="G2" s="54" t="s">
        <v>33</v>
      </c>
      <c r="H2" s="55" t="s">
        <v>363</v>
      </c>
      <c r="I2" s="54" t="s">
        <v>29</v>
      </c>
      <c r="J2" s="54" t="s">
        <v>30</v>
      </c>
      <c r="K2" s="55" t="s">
        <v>41</v>
      </c>
      <c r="L2" s="55" t="s">
        <v>41</v>
      </c>
      <c r="M2" s="55" t="s">
        <v>41</v>
      </c>
      <c r="N2" s="55" t="s">
        <v>41</v>
      </c>
      <c r="O2" s="55" t="s">
        <v>41</v>
      </c>
      <c r="P2" s="55" t="s">
        <v>41</v>
      </c>
      <c r="Q2" s="55" t="s">
        <v>41</v>
      </c>
      <c r="R2" s="55" t="s">
        <v>41</v>
      </c>
      <c r="S2" s="55" t="s">
        <v>41</v>
      </c>
      <c r="T2" s="55" t="s">
        <v>41</v>
      </c>
      <c r="U2" s="55" t="s">
        <v>41</v>
      </c>
      <c r="V2" s="55" t="s">
        <v>41</v>
      </c>
      <c r="W2" s="55" t="s">
        <v>41</v>
      </c>
      <c r="X2" s="55" t="s">
        <v>41</v>
      </c>
      <c r="Y2" s="55" t="s">
        <v>41</v>
      </c>
      <c r="Z2" s="55" t="s">
        <v>41</v>
      </c>
      <c r="AA2" s="55" t="s">
        <v>41</v>
      </c>
      <c r="AB2" s="55" t="s">
        <v>41</v>
      </c>
      <c r="AC2" s="55" t="s">
        <v>41</v>
      </c>
      <c r="AD2" s="55" t="s">
        <v>41</v>
      </c>
      <c r="AE2" s="55" t="s">
        <v>41</v>
      </c>
      <c r="AF2" s="55" t="s">
        <v>41</v>
      </c>
      <c r="AG2" s="55" t="s">
        <v>41</v>
      </c>
      <c r="AH2" s="55" t="s">
        <v>41</v>
      </c>
      <c r="AI2" s="55" t="s">
        <v>41</v>
      </c>
      <c r="AJ2" s="55" t="s">
        <v>41</v>
      </c>
      <c r="AK2" s="55" t="s">
        <v>41</v>
      </c>
      <c r="AL2" s="55" t="s">
        <v>41</v>
      </c>
      <c r="AM2" s="55" t="s">
        <v>41</v>
      </c>
    </row>
    <row r="3" spans="1:39" x14ac:dyDescent="0.25">
      <c r="A3" s="26" t="s">
        <v>138</v>
      </c>
      <c r="B3" s="270" t="s">
        <v>378</v>
      </c>
      <c r="C3" s="271" t="s">
        <v>379</v>
      </c>
      <c r="D3" s="112">
        <v>-22</v>
      </c>
      <c r="E3" s="106"/>
      <c r="F3" s="230">
        <v>1</v>
      </c>
      <c r="G3" s="129"/>
      <c r="H3" s="129">
        <v>13</v>
      </c>
      <c r="I3" s="160">
        <v>13</v>
      </c>
      <c r="J3" s="59">
        <v>8</v>
      </c>
      <c r="K3" s="160">
        <v>90</v>
      </c>
      <c r="L3" s="109">
        <v>90</v>
      </c>
      <c r="M3" s="109">
        <v>90</v>
      </c>
      <c r="N3" s="109">
        <v>90</v>
      </c>
      <c r="O3" s="109">
        <v>90</v>
      </c>
      <c r="P3" s="109">
        <v>90</v>
      </c>
      <c r="Q3" s="109">
        <v>90</v>
      </c>
      <c r="R3" s="150">
        <v>0</v>
      </c>
      <c r="S3" s="150">
        <v>0</v>
      </c>
      <c r="T3" s="150">
        <v>0</v>
      </c>
      <c r="U3" s="150">
        <v>0</v>
      </c>
      <c r="V3" s="150">
        <v>0</v>
      </c>
      <c r="W3" s="150">
        <v>0</v>
      </c>
      <c r="X3" s="272">
        <v>0</v>
      </c>
      <c r="Y3" s="109">
        <v>90</v>
      </c>
      <c r="Z3" s="109" t="s">
        <v>34</v>
      </c>
      <c r="AA3" s="109" t="s">
        <v>34</v>
      </c>
      <c r="AB3" s="109" t="s">
        <v>34</v>
      </c>
      <c r="AC3" s="109" t="s">
        <v>34</v>
      </c>
      <c r="AD3" s="150">
        <v>0</v>
      </c>
      <c r="AE3" s="109" t="s">
        <v>34</v>
      </c>
      <c r="AF3" s="109" t="s">
        <v>34</v>
      </c>
      <c r="AG3" s="109" t="s">
        <v>34</v>
      </c>
      <c r="AH3" s="109">
        <v>90</v>
      </c>
      <c r="AI3" s="109">
        <v>90</v>
      </c>
      <c r="AJ3" s="273">
        <v>90</v>
      </c>
      <c r="AK3" s="326">
        <v>90</v>
      </c>
      <c r="AL3" s="287">
        <v>90</v>
      </c>
      <c r="AM3" s="129">
        <f>SUM(K3:AJ3)</f>
        <v>990</v>
      </c>
    </row>
    <row r="4" spans="1:39" x14ac:dyDescent="0.25">
      <c r="A4" s="27" t="s">
        <v>138</v>
      </c>
      <c r="B4" s="274" t="s">
        <v>402</v>
      </c>
      <c r="C4" s="275" t="s">
        <v>403</v>
      </c>
      <c r="D4" s="112">
        <v>-2</v>
      </c>
      <c r="E4" s="113"/>
      <c r="F4" s="127"/>
      <c r="G4" s="187"/>
      <c r="H4" s="187">
        <v>2</v>
      </c>
      <c r="I4" s="112">
        <v>2</v>
      </c>
      <c r="J4" s="214">
        <v>12</v>
      </c>
      <c r="K4" s="199">
        <v>0</v>
      </c>
      <c r="L4" s="114" t="s">
        <v>34</v>
      </c>
      <c r="M4" s="114" t="s">
        <v>34</v>
      </c>
      <c r="N4" s="114" t="s">
        <v>34</v>
      </c>
      <c r="O4" s="114" t="s">
        <v>34</v>
      </c>
      <c r="P4" s="114" t="s">
        <v>34</v>
      </c>
      <c r="Q4" s="114" t="s">
        <v>34</v>
      </c>
      <c r="R4" s="114" t="s">
        <v>34</v>
      </c>
      <c r="S4" s="114" t="s">
        <v>34</v>
      </c>
      <c r="T4" s="276" t="s">
        <v>34</v>
      </c>
      <c r="U4" s="114" t="s">
        <v>34</v>
      </c>
      <c r="V4" s="114" t="s">
        <v>34</v>
      </c>
      <c r="W4" s="114" t="s">
        <v>34</v>
      </c>
      <c r="X4" s="186" t="s">
        <v>34</v>
      </c>
      <c r="Y4" s="114" t="s">
        <v>34</v>
      </c>
      <c r="Z4" s="277">
        <v>0</v>
      </c>
      <c r="AA4" s="278">
        <v>0</v>
      </c>
      <c r="AB4" s="278">
        <v>0</v>
      </c>
      <c r="AC4" s="278">
        <v>0</v>
      </c>
      <c r="AD4" s="114">
        <v>90</v>
      </c>
      <c r="AE4" s="114">
        <v>90</v>
      </c>
      <c r="AF4" s="278">
        <v>0</v>
      </c>
      <c r="AG4" s="278">
        <v>0</v>
      </c>
      <c r="AH4" s="278">
        <v>0</v>
      </c>
      <c r="AI4" s="278">
        <v>0</v>
      </c>
      <c r="AJ4" s="279">
        <v>0</v>
      </c>
      <c r="AK4" s="327">
        <v>0</v>
      </c>
      <c r="AL4" s="277">
        <v>0</v>
      </c>
      <c r="AM4" s="187">
        <f t="shared" ref="AM4:AM33" si="0">SUM(K4:AJ4)</f>
        <v>180</v>
      </c>
    </row>
    <row r="5" spans="1:39" x14ac:dyDescent="0.25">
      <c r="A5" s="27" t="s">
        <v>138</v>
      </c>
      <c r="B5" s="274" t="s">
        <v>389</v>
      </c>
      <c r="C5" s="275" t="s">
        <v>390</v>
      </c>
      <c r="D5" s="151">
        <v>-19</v>
      </c>
      <c r="E5" s="115"/>
      <c r="F5" s="127">
        <v>2</v>
      </c>
      <c r="G5" s="72"/>
      <c r="H5" s="72">
        <v>13</v>
      </c>
      <c r="I5" s="151">
        <v>13</v>
      </c>
      <c r="J5" s="101">
        <v>8</v>
      </c>
      <c r="K5" s="151" t="s">
        <v>34</v>
      </c>
      <c r="L5" s="198">
        <v>0</v>
      </c>
      <c r="M5" s="198">
        <v>0</v>
      </c>
      <c r="N5" s="198">
        <v>0</v>
      </c>
      <c r="O5" s="198">
        <v>0</v>
      </c>
      <c r="P5" s="198">
        <v>0</v>
      </c>
      <c r="Q5" s="278">
        <v>0</v>
      </c>
      <c r="R5" s="114">
        <v>90</v>
      </c>
      <c r="S5" s="114">
        <v>90</v>
      </c>
      <c r="T5" s="276">
        <v>90</v>
      </c>
      <c r="U5" s="114">
        <v>90</v>
      </c>
      <c r="V5" s="114">
        <v>90</v>
      </c>
      <c r="W5" s="114">
        <v>90</v>
      </c>
      <c r="X5" s="147">
        <v>90</v>
      </c>
      <c r="Y5" s="277">
        <v>0</v>
      </c>
      <c r="Z5" s="147">
        <v>90</v>
      </c>
      <c r="AA5" s="147">
        <v>90</v>
      </c>
      <c r="AB5" s="147">
        <v>90</v>
      </c>
      <c r="AC5" s="114">
        <v>90</v>
      </c>
      <c r="AD5" s="114" t="s">
        <v>34</v>
      </c>
      <c r="AE5" s="198">
        <v>0</v>
      </c>
      <c r="AF5" s="114">
        <v>90</v>
      </c>
      <c r="AG5" s="114">
        <v>90</v>
      </c>
      <c r="AH5" s="114" t="s">
        <v>34</v>
      </c>
      <c r="AI5" s="114" t="s">
        <v>34</v>
      </c>
      <c r="AJ5" s="276" t="s">
        <v>34</v>
      </c>
      <c r="AK5" s="328" t="s">
        <v>34</v>
      </c>
      <c r="AL5" s="186" t="s">
        <v>34</v>
      </c>
      <c r="AM5" s="72">
        <f t="shared" si="0"/>
        <v>1170</v>
      </c>
    </row>
    <row r="6" spans="1:39" x14ac:dyDescent="0.25">
      <c r="A6" s="28" t="s">
        <v>141</v>
      </c>
      <c r="B6" s="274" t="s">
        <v>384</v>
      </c>
      <c r="C6" s="275" t="s">
        <v>383</v>
      </c>
      <c r="D6" s="151">
        <v>1</v>
      </c>
      <c r="E6" s="115"/>
      <c r="F6" s="127">
        <v>5</v>
      </c>
      <c r="G6" s="72"/>
      <c r="H6" s="72">
        <v>21</v>
      </c>
      <c r="I6" s="151">
        <v>16</v>
      </c>
      <c r="J6" s="101">
        <v>8</v>
      </c>
      <c r="K6" s="151">
        <v>90</v>
      </c>
      <c r="L6" s="147">
        <v>79</v>
      </c>
      <c r="M6" s="147">
        <v>90</v>
      </c>
      <c r="N6" s="198">
        <v>0</v>
      </c>
      <c r="O6" s="198">
        <v>0</v>
      </c>
      <c r="P6" s="114" t="s">
        <v>34</v>
      </c>
      <c r="Q6" s="114">
        <v>90</v>
      </c>
      <c r="R6" s="114">
        <v>90</v>
      </c>
      <c r="S6" s="114">
        <v>83</v>
      </c>
      <c r="T6" s="276">
        <v>90</v>
      </c>
      <c r="U6" s="114">
        <v>79</v>
      </c>
      <c r="V6" s="114">
        <v>90</v>
      </c>
      <c r="W6" s="198">
        <v>18</v>
      </c>
      <c r="X6" s="186">
        <v>90</v>
      </c>
      <c r="Y6" s="198">
        <v>13</v>
      </c>
      <c r="Z6" s="277">
        <v>0</v>
      </c>
      <c r="AA6" s="147">
        <v>70</v>
      </c>
      <c r="AB6" s="147" t="s">
        <v>34</v>
      </c>
      <c r="AC6" s="114" t="s">
        <v>34</v>
      </c>
      <c r="AD6" s="278">
        <v>21</v>
      </c>
      <c r="AE6" s="198">
        <v>26</v>
      </c>
      <c r="AF6" s="278">
        <v>45</v>
      </c>
      <c r="AG6" s="276" t="s">
        <v>34</v>
      </c>
      <c r="AH6" s="114">
        <v>90</v>
      </c>
      <c r="AI6" s="114">
        <v>90</v>
      </c>
      <c r="AJ6" s="276">
        <v>90</v>
      </c>
      <c r="AK6" s="328">
        <v>90</v>
      </c>
      <c r="AL6" s="186">
        <v>90</v>
      </c>
      <c r="AM6" s="72">
        <f t="shared" si="0"/>
        <v>1334</v>
      </c>
    </row>
    <row r="7" spans="1:39" x14ac:dyDescent="0.25">
      <c r="A7" s="28" t="s">
        <v>141</v>
      </c>
      <c r="B7" s="274" t="s">
        <v>585</v>
      </c>
      <c r="C7" s="275" t="s">
        <v>990</v>
      </c>
      <c r="D7" s="151"/>
      <c r="E7" s="115"/>
      <c r="F7" s="127">
        <v>2</v>
      </c>
      <c r="G7" s="72"/>
      <c r="H7" s="72">
        <v>5</v>
      </c>
      <c r="I7" s="151">
        <v>4</v>
      </c>
      <c r="J7" s="101">
        <v>7</v>
      </c>
      <c r="K7" s="151" t="s">
        <v>34</v>
      </c>
      <c r="L7" s="147" t="s">
        <v>34</v>
      </c>
      <c r="M7" s="147" t="s">
        <v>34</v>
      </c>
      <c r="N7" s="147" t="s">
        <v>34</v>
      </c>
      <c r="O7" s="147" t="s">
        <v>34</v>
      </c>
      <c r="P7" s="114" t="s">
        <v>34</v>
      </c>
      <c r="Q7" s="114" t="s">
        <v>34</v>
      </c>
      <c r="R7" s="114" t="s">
        <v>34</v>
      </c>
      <c r="S7" s="114" t="s">
        <v>34</v>
      </c>
      <c r="T7" s="276" t="s">
        <v>34</v>
      </c>
      <c r="U7" s="114" t="s">
        <v>34</v>
      </c>
      <c r="V7" s="114" t="s">
        <v>34</v>
      </c>
      <c r="W7" s="147" t="s">
        <v>34</v>
      </c>
      <c r="X7" s="277">
        <v>0</v>
      </c>
      <c r="Y7" s="198">
        <v>0</v>
      </c>
      <c r="Z7" s="147" t="s">
        <v>34</v>
      </c>
      <c r="AA7" s="147" t="s">
        <v>34</v>
      </c>
      <c r="AB7" s="147">
        <v>81</v>
      </c>
      <c r="AC7" s="114">
        <v>90</v>
      </c>
      <c r="AD7" s="114" t="s">
        <v>34</v>
      </c>
      <c r="AE7" s="114" t="s">
        <v>34</v>
      </c>
      <c r="AF7" s="278">
        <v>5</v>
      </c>
      <c r="AG7" s="279">
        <v>0</v>
      </c>
      <c r="AH7" s="114">
        <v>90</v>
      </c>
      <c r="AI7" s="114">
        <v>90</v>
      </c>
      <c r="AJ7" s="279">
        <v>0</v>
      </c>
      <c r="AK7" s="331">
        <v>0</v>
      </c>
      <c r="AL7" s="277">
        <v>0</v>
      </c>
      <c r="AM7" s="72">
        <f t="shared" si="0"/>
        <v>356</v>
      </c>
    </row>
    <row r="8" spans="1:39" x14ac:dyDescent="0.25">
      <c r="A8" s="28" t="s">
        <v>141</v>
      </c>
      <c r="B8" s="274" t="s">
        <v>337</v>
      </c>
      <c r="C8" s="275" t="s">
        <v>496</v>
      </c>
      <c r="D8" s="151"/>
      <c r="E8" s="115"/>
      <c r="F8" s="127"/>
      <c r="G8" s="72"/>
      <c r="H8" s="72">
        <v>3</v>
      </c>
      <c r="I8" s="151">
        <v>0</v>
      </c>
      <c r="J8" s="101">
        <v>11</v>
      </c>
      <c r="K8" s="151" t="s">
        <v>34</v>
      </c>
      <c r="L8" s="147" t="s">
        <v>34</v>
      </c>
      <c r="M8" s="147" t="s">
        <v>34</v>
      </c>
      <c r="N8" s="147" t="s">
        <v>34</v>
      </c>
      <c r="O8" s="147" t="s">
        <v>34</v>
      </c>
      <c r="P8" s="114" t="s">
        <v>34</v>
      </c>
      <c r="Q8" s="114" t="s">
        <v>34</v>
      </c>
      <c r="R8" s="114" t="s">
        <v>34</v>
      </c>
      <c r="S8" s="114" t="s">
        <v>34</v>
      </c>
      <c r="T8" s="276" t="s">
        <v>34</v>
      </c>
      <c r="U8" s="114" t="s">
        <v>34</v>
      </c>
      <c r="V8" s="114" t="s">
        <v>34</v>
      </c>
      <c r="W8" s="198">
        <v>3</v>
      </c>
      <c r="X8" s="277">
        <v>0</v>
      </c>
      <c r="Y8" s="198">
        <v>0</v>
      </c>
      <c r="Z8" s="277">
        <v>0</v>
      </c>
      <c r="AA8" s="147" t="s">
        <v>34</v>
      </c>
      <c r="AB8" s="147" t="s">
        <v>34</v>
      </c>
      <c r="AC8" s="278">
        <v>0</v>
      </c>
      <c r="AD8" s="278">
        <v>21</v>
      </c>
      <c r="AE8" s="114" t="s">
        <v>34</v>
      </c>
      <c r="AF8" s="278">
        <v>0</v>
      </c>
      <c r="AG8" s="279">
        <v>0</v>
      </c>
      <c r="AH8" s="278">
        <v>0</v>
      </c>
      <c r="AI8" s="114" t="s">
        <v>34</v>
      </c>
      <c r="AJ8" s="279">
        <v>0</v>
      </c>
      <c r="AK8" s="328" t="s">
        <v>34</v>
      </c>
      <c r="AL8" s="277">
        <v>22</v>
      </c>
      <c r="AM8" s="72">
        <f t="shared" si="0"/>
        <v>24</v>
      </c>
    </row>
    <row r="9" spans="1:39" x14ac:dyDescent="0.25">
      <c r="A9" s="28" t="s">
        <v>141</v>
      </c>
      <c r="B9" s="274" t="s">
        <v>337</v>
      </c>
      <c r="C9" s="275" t="s">
        <v>385</v>
      </c>
      <c r="D9" s="151">
        <v>1</v>
      </c>
      <c r="E9" s="115"/>
      <c r="F9" s="127">
        <v>8</v>
      </c>
      <c r="G9" s="72">
        <v>1</v>
      </c>
      <c r="H9" s="72">
        <v>25</v>
      </c>
      <c r="I9" s="151">
        <v>23</v>
      </c>
      <c r="J9" s="101">
        <v>2</v>
      </c>
      <c r="K9" s="151">
        <v>90</v>
      </c>
      <c r="L9" s="147">
        <v>57</v>
      </c>
      <c r="M9" s="147">
        <v>77</v>
      </c>
      <c r="N9" s="147">
        <v>90</v>
      </c>
      <c r="O9" s="147">
        <v>78</v>
      </c>
      <c r="P9" s="114">
        <v>90</v>
      </c>
      <c r="Q9" s="147">
        <v>60</v>
      </c>
      <c r="R9" s="147">
        <v>70</v>
      </c>
      <c r="S9" s="147" t="s">
        <v>34</v>
      </c>
      <c r="T9" s="198">
        <v>16</v>
      </c>
      <c r="U9" s="147">
        <v>80</v>
      </c>
      <c r="V9" s="147">
        <v>76</v>
      </c>
      <c r="W9" s="147">
        <v>87</v>
      </c>
      <c r="X9" s="51">
        <v>90</v>
      </c>
      <c r="Y9" s="147">
        <v>90</v>
      </c>
      <c r="Z9" s="147">
        <v>90</v>
      </c>
      <c r="AA9" s="147">
        <v>90</v>
      </c>
      <c r="AB9" s="147">
        <v>90</v>
      </c>
      <c r="AC9" s="114">
        <v>90</v>
      </c>
      <c r="AD9" s="147" t="s">
        <v>34</v>
      </c>
      <c r="AE9" s="198">
        <v>26</v>
      </c>
      <c r="AF9" s="147">
        <v>90</v>
      </c>
      <c r="AG9" s="280">
        <v>90</v>
      </c>
      <c r="AH9" s="147">
        <v>90</v>
      </c>
      <c r="AI9" s="147">
        <v>90</v>
      </c>
      <c r="AJ9" s="280">
        <v>90</v>
      </c>
      <c r="AK9" s="330">
        <v>90</v>
      </c>
      <c r="AL9" s="51" t="s">
        <v>34</v>
      </c>
      <c r="AM9" s="72">
        <f t="shared" si="0"/>
        <v>1887</v>
      </c>
    </row>
    <row r="10" spans="1:39" x14ac:dyDescent="0.25">
      <c r="A10" s="28" t="s">
        <v>141</v>
      </c>
      <c r="B10" s="274" t="s">
        <v>346</v>
      </c>
      <c r="C10" s="275" t="s">
        <v>382</v>
      </c>
      <c r="D10" s="151"/>
      <c r="E10" s="115">
        <v>2</v>
      </c>
      <c r="F10" s="127">
        <v>5</v>
      </c>
      <c r="G10" s="72"/>
      <c r="H10" s="72">
        <v>27</v>
      </c>
      <c r="I10" s="151">
        <v>25</v>
      </c>
      <c r="J10" s="101">
        <v>2</v>
      </c>
      <c r="K10" s="151">
        <v>90</v>
      </c>
      <c r="L10" s="147">
        <v>90</v>
      </c>
      <c r="M10" s="147">
        <v>77</v>
      </c>
      <c r="N10" s="147">
        <v>90</v>
      </c>
      <c r="O10" s="147">
        <v>90</v>
      </c>
      <c r="P10" s="147">
        <v>90</v>
      </c>
      <c r="Q10" s="147">
        <v>90</v>
      </c>
      <c r="R10" s="147">
        <v>90</v>
      </c>
      <c r="S10" s="147">
        <v>90</v>
      </c>
      <c r="T10" s="280">
        <v>90</v>
      </c>
      <c r="U10" s="280">
        <v>67</v>
      </c>
      <c r="V10" s="147">
        <v>76</v>
      </c>
      <c r="W10" s="147">
        <v>78</v>
      </c>
      <c r="X10" s="51">
        <v>74</v>
      </c>
      <c r="Y10" s="147">
        <v>77</v>
      </c>
      <c r="Z10" s="277">
        <v>18</v>
      </c>
      <c r="AA10" s="147">
        <v>86</v>
      </c>
      <c r="AB10" s="198">
        <v>9</v>
      </c>
      <c r="AC10" s="147">
        <v>79</v>
      </c>
      <c r="AD10" s="147">
        <v>59</v>
      </c>
      <c r="AE10" s="147">
        <v>64</v>
      </c>
      <c r="AF10" s="147">
        <v>45</v>
      </c>
      <c r="AG10" s="280">
        <v>77</v>
      </c>
      <c r="AH10" s="280">
        <v>90</v>
      </c>
      <c r="AI10" s="147">
        <v>66</v>
      </c>
      <c r="AJ10" s="280" t="s">
        <v>34</v>
      </c>
      <c r="AK10" s="330">
        <v>90</v>
      </c>
      <c r="AL10" s="51">
        <v>90</v>
      </c>
      <c r="AM10" s="72">
        <f t="shared" si="0"/>
        <v>1852</v>
      </c>
    </row>
    <row r="11" spans="1:39" x14ac:dyDescent="0.25">
      <c r="A11" s="28" t="s">
        <v>141</v>
      </c>
      <c r="B11" s="274" t="s">
        <v>339</v>
      </c>
      <c r="C11" s="275" t="s">
        <v>15</v>
      </c>
      <c r="D11" s="151"/>
      <c r="E11" s="115"/>
      <c r="F11" s="127">
        <v>4</v>
      </c>
      <c r="G11" s="72"/>
      <c r="H11" s="72">
        <v>11</v>
      </c>
      <c r="I11" s="151">
        <v>4</v>
      </c>
      <c r="J11" s="101">
        <v>21</v>
      </c>
      <c r="K11" s="281">
        <v>0</v>
      </c>
      <c r="L11" s="198">
        <v>11</v>
      </c>
      <c r="M11" s="198">
        <v>0</v>
      </c>
      <c r="N11" s="198">
        <v>0</v>
      </c>
      <c r="O11" s="198">
        <v>12</v>
      </c>
      <c r="P11" s="278">
        <v>0</v>
      </c>
      <c r="Q11" s="198">
        <v>0</v>
      </c>
      <c r="R11" s="198">
        <v>0</v>
      </c>
      <c r="S11" s="198">
        <v>7</v>
      </c>
      <c r="T11" s="198">
        <v>0</v>
      </c>
      <c r="U11" s="198">
        <v>11</v>
      </c>
      <c r="V11" s="198">
        <v>0</v>
      </c>
      <c r="W11" s="147">
        <v>90</v>
      </c>
      <c r="X11" s="51">
        <v>74</v>
      </c>
      <c r="Y11" s="147" t="s">
        <v>34</v>
      </c>
      <c r="Z11" s="147" t="s">
        <v>34</v>
      </c>
      <c r="AA11" s="198">
        <v>4</v>
      </c>
      <c r="AB11" s="198">
        <v>0</v>
      </c>
      <c r="AC11" s="278">
        <v>11</v>
      </c>
      <c r="AD11" s="147" t="s">
        <v>34</v>
      </c>
      <c r="AE11" s="198">
        <v>0</v>
      </c>
      <c r="AF11" s="278">
        <v>45</v>
      </c>
      <c r="AG11" s="280">
        <v>45</v>
      </c>
      <c r="AH11" s="278">
        <v>0</v>
      </c>
      <c r="AI11" s="278">
        <v>0</v>
      </c>
      <c r="AJ11" s="279">
        <v>0</v>
      </c>
      <c r="AK11" s="331">
        <v>0</v>
      </c>
      <c r="AL11" s="186">
        <v>68</v>
      </c>
      <c r="AM11" s="72">
        <f t="shared" si="0"/>
        <v>310</v>
      </c>
    </row>
    <row r="12" spans="1:39" x14ac:dyDescent="0.25">
      <c r="A12" s="28" t="s">
        <v>141</v>
      </c>
      <c r="B12" s="274" t="s">
        <v>391</v>
      </c>
      <c r="C12" s="275" t="s">
        <v>392</v>
      </c>
      <c r="D12" s="151"/>
      <c r="E12" s="115"/>
      <c r="F12" s="127">
        <v>10</v>
      </c>
      <c r="G12" s="72">
        <v>1</v>
      </c>
      <c r="H12" s="72">
        <v>17</v>
      </c>
      <c r="I12" s="151">
        <v>13</v>
      </c>
      <c r="J12" s="101">
        <v>10</v>
      </c>
      <c r="K12" s="151" t="s">
        <v>34</v>
      </c>
      <c r="L12" s="198">
        <v>0</v>
      </c>
      <c r="M12" s="198">
        <v>0</v>
      </c>
      <c r="N12" s="198">
        <v>0</v>
      </c>
      <c r="O12" s="198">
        <v>12</v>
      </c>
      <c r="P12" s="198">
        <v>0</v>
      </c>
      <c r="Q12" s="198">
        <v>0</v>
      </c>
      <c r="R12" s="147">
        <v>90</v>
      </c>
      <c r="S12" s="147">
        <v>90</v>
      </c>
      <c r="T12" s="280">
        <v>90</v>
      </c>
      <c r="U12" s="147">
        <v>90</v>
      </c>
      <c r="V12" s="147">
        <v>90</v>
      </c>
      <c r="W12" s="147">
        <v>90</v>
      </c>
      <c r="X12" s="51" t="s">
        <v>34</v>
      </c>
      <c r="Y12" s="147">
        <v>77</v>
      </c>
      <c r="Z12" s="147">
        <v>90</v>
      </c>
      <c r="AA12" s="198">
        <v>20</v>
      </c>
      <c r="AB12" s="198">
        <v>67</v>
      </c>
      <c r="AC12" s="147">
        <v>90</v>
      </c>
      <c r="AD12" s="147" t="s">
        <v>34</v>
      </c>
      <c r="AE12" s="198">
        <v>0</v>
      </c>
      <c r="AF12" s="278">
        <v>45</v>
      </c>
      <c r="AG12" s="280">
        <v>90</v>
      </c>
      <c r="AH12" s="147" t="s">
        <v>34</v>
      </c>
      <c r="AI12" s="147" t="s">
        <v>34</v>
      </c>
      <c r="AJ12" s="280">
        <v>90</v>
      </c>
      <c r="AK12" s="330">
        <v>79</v>
      </c>
      <c r="AL12" s="51">
        <v>90</v>
      </c>
      <c r="AM12" s="72">
        <f t="shared" ref="AM12" si="1">SUM(K12:AJ12)</f>
        <v>1121</v>
      </c>
    </row>
    <row r="13" spans="1:39" x14ac:dyDescent="0.25">
      <c r="A13" s="28" t="s">
        <v>141</v>
      </c>
      <c r="B13" s="274" t="s">
        <v>380</v>
      </c>
      <c r="C13" s="275" t="s">
        <v>381</v>
      </c>
      <c r="D13" s="151">
        <v>2</v>
      </c>
      <c r="E13" s="115"/>
      <c r="F13" s="127">
        <v>9</v>
      </c>
      <c r="G13" s="72">
        <v>2</v>
      </c>
      <c r="H13" s="72">
        <v>20</v>
      </c>
      <c r="I13" s="151">
        <v>16</v>
      </c>
      <c r="J13" s="101">
        <v>4</v>
      </c>
      <c r="K13" s="281">
        <v>18</v>
      </c>
      <c r="L13" s="147">
        <v>90</v>
      </c>
      <c r="M13" s="147">
        <v>90</v>
      </c>
      <c r="N13" s="147">
        <v>90</v>
      </c>
      <c r="O13" s="147">
        <v>90</v>
      </c>
      <c r="P13" s="147">
        <v>90</v>
      </c>
      <c r="Q13" s="147">
        <v>52</v>
      </c>
      <c r="R13" s="147" t="s">
        <v>34</v>
      </c>
      <c r="S13" s="198">
        <v>15</v>
      </c>
      <c r="T13" s="198">
        <v>3</v>
      </c>
      <c r="U13" s="147">
        <v>90</v>
      </c>
      <c r="V13" s="147" t="s">
        <v>34</v>
      </c>
      <c r="W13" s="147">
        <v>90</v>
      </c>
      <c r="X13" s="51">
        <v>90</v>
      </c>
      <c r="Y13" s="147">
        <v>90</v>
      </c>
      <c r="Z13" s="147">
        <v>90</v>
      </c>
      <c r="AA13" s="147">
        <v>90</v>
      </c>
      <c r="AB13" s="147">
        <v>23</v>
      </c>
      <c r="AC13" s="147" t="s">
        <v>34</v>
      </c>
      <c r="AD13" s="147" t="s">
        <v>34</v>
      </c>
      <c r="AE13" s="147" t="s">
        <v>34</v>
      </c>
      <c r="AF13" s="278">
        <v>2</v>
      </c>
      <c r="AG13" s="280" t="s">
        <v>34</v>
      </c>
      <c r="AH13" s="147" t="s">
        <v>34</v>
      </c>
      <c r="AI13" s="147" t="s">
        <v>34</v>
      </c>
      <c r="AJ13" s="280">
        <v>90</v>
      </c>
      <c r="AK13" s="330">
        <v>90</v>
      </c>
      <c r="AL13" s="51">
        <v>68</v>
      </c>
      <c r="AM13" s="72">
        <f t="shared" si="0"/>
        <v>1193</v>
      </c>
    </row>
    <row r="14" spans="1:39" x14ac:dyDescent="0.25">
      <c r="A14" s="29" t="s">
        <v>139</v>
      </c>
      <c r="B14" s="274" t="s">
        <v>343</v>
      </c>
      <c r="C14" s="275" t="s">
        <v>393</v>
      </c>
      <c r="D14" s="151">
        <v>1</v>
      </c>
      <c r="E14" s="115">
        <v>1</v>
      </c>
      <c r="F14" s="127">
        <v>4</v>
      </c>
      <c r="G14" s="72"/>
      <c r="H14" s="72">
        <v>21</v>
      </c>
      <c r="I14" s="151">
        <v>10</v>
      </c>
      <c r="J14" s="101">
        <v>13</v>
      </c>
      <c r="K14" s="151" t="s">
        <v>34</v>
      </c>
      <c r="L14" s="147" t="s">
        <v>34</v>
      </c>
      <c r="M14" s="198">
        <v>13</v>
      </c>
      <c r="N14" s="198">
        <v>10</v>
      </c>
      <c r="O14" s="198">
        <v>25</v>
      </c>
      <c r="P14" s="198">
        <v>0</v>
      </c>
      <c r="Q14" s="147" t="s">
        <v>34</v>
      </c>
      <c r="R14" s="147">
        <v>67</v>
      </c>
      <c r="S14" s="147">
        <v>75</v>
      </c>
      <c r="T14" s="280">
        <v>74</v>
      </c>
      <c r="U14" s="280">
        <v>90</v>
      </c>
      <c r="V14" s="147">
        <v>63</v>
      </c>
      <c r="W14" s="198">
        <v>0</v>
      </c>
      <c r="X14" s="195">
        <v>16</v>
      </c>
      <c r="Y14" s="198">
        <v>13</v>
      </c>
      <c r="Z14" s="147" t="s">
        <v>34</v>
      </c>
      <c r="AA14" s="147" t="s">
        <v>34</v>
      </c>
      <c r="AB14" s="198">
        <v>24</v>
      </c>
      <c r="AC14" s="198">
        <v>25</v>
      </c>
      <c r="AD14" s="198">
        <v>31</v>
      </c>
      <c r="AE14" s="198">
        <v>17</v>
      </c>
      <c r="AF14" s="147">
        <v>90</v>
      </c>
      <c r="AG14" s="280">
        <v>45</v>
      </c>
      <c r="AH14" s="278">
        <v>21</v>
      </c>
      <c r="AI14" s="278">
        <v>24</v>
      </c>
      <c r="AJ14" s="280">
        <v>90</v>
      </c>
      <c r="AK14" s="330">
        <v>68</v>
      </c>
      <c r="AL14" s="51">
        <v>80</v>
      </c>
      <c r="AM14" s="72">
        <f t="shared" si="0"/>
        <v>813</v>
      </c>
    </row>
    <row r="15" spans="1:39" x14ac:dyDescent="0.25">
      <c r="A15" s="29" t="s">
        <v>139</v>
      </c>
      <c r="B15" s="274" t="s">
        <v>335</v>
      </c>
      <c r="C15" s="275" t="s">
        <v>990</v>
      </c>
      <c r="D15" s="151"/>
      <c r="E15" s="115"/>
      <c r="F15" s="127"/>
      <c r="G15" s="72"/>
      <c r="H15" s="72">
        <v>1</v>
      </c>
      <c r="I15" s="151">
        <v>0</v>
      </c>
      <c r="J15" s="101">
        <v>12</v>
      </c>
      <c r="K15" s="151" t="s">
        <v>34</v>
      </c>
      <c r="L15" s="147" t="s">
        <v>34</v>
      </c>
      <c r="M15" s="147" t="s">
        <v>34</v>
      </c>
      <c r="N15" s="147" t="s">
        <v>34</v>
      </c>
      <c r="O15" s="147" t="s">
        <v>34</v>
      </c>
      <c r="P15" s="147" t="s">
        <v>34</v>
      </c>
      <c r="Q15" s="147" t="s">
        <v>34</v>
      </c>
      <c r="R15" s="147" t="s">
        <v>34</v>
      </c>
      <c r="S15" s="147" t="s">
        <v>34</v>
      </c>
      <c r="T15" s="280" t="s">
        <v>34</v>
      </c>
      <c r="U15" s="280" t="s">
        <v>34</v>
      </c>
      <c r="V15" s="147" t="s">
        <v>34</v>
      </c>
      <c r="W15" s="198">
        <v>0</v>
      </c>
      <c r="X15" s="195">
        <v>0</v>
      </c>
      <c r="Y15" s="198">
        <v>0</v>
      </c>
      <c r="Z15" s="277">
        <v>0</v>
      </c>
      <c r="AA15" s="198">
        <v>0</v>
      </c>
      <c r="AB15" s="198">
        <v>0</v>
      </c>
      <c r="AC15" s="278">
        <v>0</v>
      </c>
      <c r="AD15" s="198">
        <v>0</v>
      </c>
      <c r="AE15" s="147" t="s">
        <v>34</v>
      </c>
      <c r="AF15" s="278">
        <v>0</v>
      </c>
      <c r="AG15" s="279">
        <v>13</v>
      </c>
      <c r="AH15" s="278">
        <v>0</v>
      </c>
      <c r="AI15" s="278">
        <v>0</v>
      </c>
      <c r="AJ15" s="280" t="s">
        <v>34</v>
      </c>
      <c r="AK15" s="330" t="s">
        <v>34</v>
      </c>
      <c r="AL15" s="51" t="s">
        <v>34</v>
      </c>
      <c r="AM15" s="72">
        <f t="shared" si="0"/>
        <v>13</v>
      </c>
    </row>
    <row r="16" spans="1:39" x14ac:dyDescent="0.25">
      <c r="A16" s="29" t="s">
        <v>139</v>
      </c>
      <c r="B16" s="274" t="s">
        <v>346</v>
      </c>
      <c r="C16" s="275" t="s">
        <v>399</v>
      </c>
      <c r="D16" s="151">
        <v>1</v>
      </c>
      <c r="E16" s="115"/>
      <c r="F16" s="127">
        <v>1</v>
      </c>
      <c r="G16" s="72"/>
      <c r="H16" s="72">
        <v>19</v>
      </c>
      <c r="I16" s="151">
        <v>12</v>
      </c>
      <c r="J16" s="101">
        <v>16</v>
      </c>
      <c r="K16" s="281">
        <v>0</v>
      </c>
      <c r="L16" s="198">
        <v>0</v>
      </c>
      <c r="M16" s="198">
        <v>13</v>
      </c>
      <c r="N16" s="198">
        <v>30</v>
      </c>
      <c r="O16" s="198">
        <v>0</v>
      </c>
      <c r="P16" s="198">
        <v>0</v>
      </c>
      <c r="Q16" s="147">
        <v>60</v>
      </c>
      <c r="R16" s="198">
        <v>0</v>
      </c>
      <c r="S16" s="198">
        <v>0</v>
      </c>
      <c r="T16" s="198">
        <v>0</v>
      </c>
      <c r="U16" s="198">
        <v>10</v>
      </c>
      <c r="V16" s="198">
        <v>0</v>
      </c>
      <c r="W16" s="198">
        <v>3</v>
      </c>
      <c r="X16" s="195">
        <v>16</v>
      </c>
      <c r="Y16" s="198">
        <v>8</v>
      </c>
      <c r="Z16" s="147">
        <v>79</v>
      </c>
      <c r="AA16" s="147">
        <v>64</v>
      </c>
      <c r="AB16" s="147">
        <v>66</v>
      </c>
      <c r="AC16" s="147">
        <v>79</v>
      </c>
      <c r="AD16" s="147">
        <v>69</v>
      </c>
      <c r="AE16" s="147">
        <v>64</v>
      </c>
      <c r="AF16" s="147">
        <v>85</v>
      </c>
      <c r="AG16" s="280">
        <v>45</v>
      </c>
      <c r="AH16" s="280">
        <v>62</v>
      </c>
      <c r="AI16" s="147">
        <v>60</v>
      </c>
      <c r="AJ16" s="280">
        <v>62</v>
      </c>
      <c r="AK16" s="331">
        <v>30</v>
      </c>
      <c r="AL16" s="277">
        <v>0</v>
      </c>
      <c r="AM16" s="72">
        <f t="shared" si="0"/>
        <v>875</v>
      </c>
    </row>
    <row r="17" spans="1:39" x14ac:dyDescent="0.25">
      <c r="A17" s="29" t="s">
        <v>139</v>
      </c>
      <c r="B17" s="274" t="s">
        <v>348</v>
      </c>
      <c r="C17" s="275" t="s">
        <v>12</v>
      </c>
      <c r="D17" s="151">
        <v>1</v>
      </c>
      <c r="E17" s="115"/>
      <c r="F17" s="127">
        <v>1</v>
      </c>
      <c r="G17" s="72"/>
      <c r="H17" s="72">
        <v>10</v>
      </c>
      <c r="I17" s="151">
        <v>8</v>
      </c>
      <c r="J17" s="101">
        <v>2</v>
      </c>
      <c r="K17" s="151">
        <v>72</v>
      </c>
      <c r="L17" s="147">
        <v>57</v>
      </c>
      <c r="M17" s="198">
        <v>25</v>
      </c>
      <c r="N17" s="147">
        <v>60</v>
      </c>
      <c r="O17" s="147">
        <v>65</v>
      </c>
      <c r="P17" s="147">
        <v>90</v>
      </c>
      <c r="Q17" s="147">
        <v>60</v>
      </c>
      <c r="R17" s="198">
        <v>20</v>
      </c>
      <c r="S17" s="147">
        <v>75</v>
      </c>
      <c r="T17" s="280">
        <v>27</v>
      </c>
      <c r="U17" s="280" t="s">
        <v>34</v>
      </c>
      <c r="V17" s="147" t="s">
        <v>34</v>
      </c>
      <c r="W17" s="147" t="s">
        <v>34</v>
      </c>
      <c r="X17" s="51" t="s">
        <v>34</v>
      </c>
      <c r="Y17" s="147" t="s">
        <v>34</v>
      </c>
      <c r="Z17" s="147" t="s">
        <v>34</v>
      </c>
      <c r="AA17" s="147" t="s">
        <v>34</v>
      </c>
      <c r="AB17" s="147" t="s">
        <v>34</v>
      </c>
      <c r="AC17" s="147" t="s">
        <v>34</v>
      </c>
      <c r="AD17" s="147" t="s">
        <v>34</v>
      </c>
      <c r="AE17" s="147" t="s">
        <v>34</v>
      </c>
      <c r="AF17" s="147" t="s">
        <v>34</v>
      </c>
      <c r="AG17" s="280" t="s">
        <v>34</v>
      </c>
      <c r="AH17" s="280" t="s">
        <v>34</v>
      </c>
      <c r="AI17" s="147" t="s">
        <v>34</v>
      </c>
      <c r="AJ17" s="280" t="s">
        <v>34</v>
      </c>
      <c r="AK17" s="330" t="s">
        <v>34</v>
      </c>
      <c r="AL17" s="51" t="s">
        <v>34</v>
      </c>
      <c r="AM17" s="72">
        <f t="shared" si="0"/>
        <v>551</v>
      </c>
    </row>
    <row r="18" spans="1:39" x14ac:dyDescent="0.25">
      <c r="A18" s="29" t="s">
        <v>139</v>
      </c>
      <c r="B18" s="274" t="s">
        <v>349</v>
      </c>
      <c r="C18" s="275" t="s">
        <v>10</v>
      </c>
      <c r="D18" s="151">
        <v>3</v>
      </c>
      <c r="E18" s="115"/>
      <c r="F18" s="127">
        <v>9</v>
      </c>
      <c r="G18" s="72">
        <v>1</v>
      </c>
      <c r="H18" s="72">
        <v>26</v>
      </c>
      <c r="I18" s="151">
        <v>26</v>
      </c>
      <c r="J18" s="101">
        <v>0</v>
      </c>
      <c r="K18" s="151">
        <v>78</v>
      </c>
      <c r="L18" s="147">
        <v>90</v>
      </c>
      <c r="M18" s="147">
        <v>90</v>
      </c>
      <c r="N18" s="147">
        <v>90</v>
      </c>
      <c r="O18" s="147">
        <v>78</v>
      </c>
      <c r="P18" s="147">
        <v>90</v>
      </c>
      <c r="Q18" s="147">
        <v>55</v>
      </c>
      <c r="R18" s="147" t="s">
        <v>34</v>
      </c>
      <c r="S18" s="147">
        <v>90</v>
      </c>
      <c r="T18" s="280">
        <v>90</v>
      </c>
      <c r="U18" s="280">
        <v>90</v>
      </c>
      <c r="V18" s="147">
        <v>90</v>
      </c>
      <c r="W18" s="147">
        <v>90</v>
      </c>
      <c r="X18" s="51" t="s">
        <v>34</v>
      </c>
      <c r="Y18" s="147">
        <v>90</v>
      </c>
      <c r="Z18" s="147">
        <v>90</v>
      </c>
      <c r="AA18" s="147">
        <v>90</v>
      </c>
      <c r="AB18" s="147">
        <v>90</v>
      </c>
      <c r="AC18" s="147">
        <v>90</v>
      </c>
      <c r="AD18" s="147">
        <v>90</v>
      </c>
      <c r="AE18" s="147">
        <v>90</v>
      </c>
      <c r="AF18" s="147">
        <v>90</v>
      </c>
      <c r="AG18" s="280">
        <v>45</v>
      </c>
      <c r="AH18" s="280">
        <v>90</v>
      </c>
      <c r="AI18" s="147">
        <v>90</v>
      </c>
      <c r="AJ18" s="280">
        <v>90</v>
      </c>
      <c r="AK18" s="330">
        <v>90</v>
      </c>
      <c r="AL18" s="51">
        <v>90</v>
      </c>
      <c r="AM18" s="72">
        <f t="shared" si="0"/>
        <v>2056</v>
      </c>
    </row>
    <row r="19" spans="1:39" x14ac:dyDescent="0.25">
      <c r="A19" s="29" t="s">
        <v>139</v>
      </c>
      <c r="B19" s="274" t="s">
        <v>350</v>
      </c>
      <c r="C19" s="275" t="s">
        <v>7</v>
      </c>
      <c r="D19" s="151">
        <v>1</v>
      </c>
      <c r="E19" s="115"/>
      <c r="F19" s="127">
        <v>5</v>
      </c>
      <c r="G19" s="72"/>
      <c r="H19" s="72">
        <v>21</v>
      </c>
      <c r="I19" s="151">
        <v>15</v>
      </c>
      <c r="J19" s="101">
        <v>7</v>
      </c>
      <c r="K19" s="151">
        <v>60</v>
      </c>
      <c r="L19" s="198">
        <v>11</v>
      </c>
      <c r="M19" s="147">
        <v>65</v>
      </c>
      <c r="N19" s="147">
        <v>60</v>
      </c>
      <c r="O19" s="147">
        <v>65</v>
      </c>
      <c r="P19" s="147">
        <v>59</v>
      </c>
      <c r="Q19" s="147" t="s">
        <v>34</v>
      </c>
      <c r="R19" s="198">
        <v>23</v>
      </c>
      <c r="S19" s="198">
        <v>7</v>
      </c>
      <c r="T19" s="198">
        <v>60</v>
      </c>
      <c r="U19" s="198">
        <v>0</v>
      </c>
      <c r="V19" s="198">
        <v>4</v>
      </c>
      <c r="W19" s="147">
        <v>87</v>
      </c>
      <c r="X19" s="51">
        <v>74</v>
      </c>
      <c r="Y19" s="147" t="s">
        <v>34</v>
      </c>
      <c r="Z19" s="277">
        <v>11</v>
      </c>
      <c r="AA19" s="147" t="s">
        <v>34</v>
      </c>
      <c r="AB19" s="147" t="s">
        <v>34</v>
      </c>
      <c r="AC19" s="147">
        <v>65</v>
      </c>
      <c r="AD19" s="147">
        <v>90</v>
      </c>
      <c r="AE19" s="147">
        <v>90</v>
      </c>
      <c r="AF19" s="147" t="s">
        <v>34</v>
      </c>
      <c r="AG19" s="280">
        <v>90</v>
      </c>
      <c r="AH19" s="280">
        <v>90</v>
      </c>
      <c r="AI19" s="147">
        <v>90</v>
      </c>
      <c r="AJ19" s="280">
        <v>76</v>
      </c>
      <c r="AK19" s="330">
        <v>90</v>
      </c>
      <c r="AL19" s="51" t="s">
        <v>34</v>
      </c>
      <c r="AM19" s="72">
        <f t="shared" si="0"/>
        <v>1177</v>
      </c>
    </row>
    <row r="20" spans="1:39" x14ac:dyDescent="0.25">
      <c r="A20" s="29" t="s">
        <v>139</v>
      </c>
      <c r="B20" s="274" t="s">
        <v>396</v>
      </c>
      <c r="C20" s="275" t="s">
        <v>397</v>
      </c>
      <c r="D20" s="151"/>
      <c r="E20" s="115"/>
      <c r="F20" s="127">
        <v>2</v>
      </c>
      <c r="G20" s="72"/>
      <c r="H20" s="72">
        <v>10</v>
      </c>
      <c r="I20" s="151">
        <v>2</v>
      </c>
      <c r="J20" s="101">
        <v>20</v>
      </c>
      <c r="K20" s="281">
        <v>12</v>
      </c>
      <c r="L20" s="147" t="s">
        <v>34</v>
      </c>
      <c r="M20" s="198">
        <v>13</v>
      </c>
      <c r="N20" s="198">
        <v>0</v>
      </c>
      <c r="O20" s="198">
        <v>5</v>
      </c>
      <c r="P20" s="198">
        <v>0</v>
      </c>
      <c r="Q20" s="198">
        <v>0</v>
      </c>
      <c r="R20" s="198">
        <v>0</v>
      </c>
      <c r="S20" s="198">
        <v>0</v>
      </c>
      <c r="T20" s="198">
        <v>0</v>
      </c>
      <c r="U20" s="280">
        <v>67</v>
      </c>
      <c r="V20" s="147">
        <v>63</v>
      </c>
      <c r="W20" s="147" t="s">
        <v>34</v>
      </c>
      <c r="X20" s="195">
        <v>0</v>
      </c>
      <c r="Y20" s="147" t="s">
        <v>34</v>
      </c>
      <c r="Z20" s="147" t="s">
        <v>34</v>
      </c>
      <c r="AA20" s="198">
        <v>0</v>
      </c>
      <c r="AB20" s="198">
        <v>0</v>
      </c>
      <c r="AC20" s="198">
        <v>0</v>
      </c>
      <c r="AD20" s="198">
        <v>4</v>
      </c>
      <c r="AE20" s="198">
        <v>0</v>
      </c>
      <c r="AF20" s="278">
        <v>0</v>
      </c>
      <c r="AG20" s="279">
        <v>45</v>
      </c>
      <c r="AH20" s="278">
        <v>28</v>
      </c>
      <c r="AI20" s="278">
        <v>24</v>
      </c>
      <c r="AJ20" s="279">
        <v>28</v>
      </c>
      <c r="AK20" s="328" t="s">
        <v>34</v>
      </c>
      <c r="AL20" s="186" t="s">
        <v>34</v>
      </c>
      <c r="AM20" s="72">
        <f t="shared" si="0"/>
        <v>289</v>
      </c>
    </row>
    <row r="21" spans="1:39" x14ac:dyDescent="0.25">
      <c r="A21" s="29" t="s">
        <v>139</v>
      </c>
      <c r="B21" s="274" t="s">
        <v>387</v>
      </c>
      <c r="C21" s="275" t="s">
        <v>388</v>
      </c>
      <c r="D21" s="151"/>
      <c r="E21" s="115"/>
      <c r="F21" s="127">
        <v>2</v>
      </c>
      <c r="G21" s="72"/>
      <c r="H21" s="72">
        <v>18</v>
      </c>
      <c r="I21" s="151">
        <v>14</v>
      </c>
      <c r="J21" s="101">
        <v>5</v>
      </c>
      <c r="K21" s="281">
        <v>0</v>
      </c>
      <c r="L21" s="198">
        <v>33</v>
      </c>
      <c r="M21" s="147">
        <v>77</v>
      </c>
      <c r="N21" s="147" t="s">
        <v>34</v>
      </c>
      <c r="O21" s="147" t="s">
        <v>34</v>
      </c>
      <c r="P21" s="147" t="s">
        <v>34</v>
      </c>
      <c r="Q21" s="198">
        <v>30</v>
      </c>
      <c r="R21" s="147">
        <v>90</v>
      </c>
      <c r="S21" s="147">
        <v>90</v>
      </c>
      <c r="T21" s="280">
        <v>90</v>
      </c>
      <c r="U21" s="280">
        <v>90</v>
      </c>
      <c r="V21" s="147">
        <v>86</v>
      </c>
      <c r="W21" s="147">
        <v>90</v>
      </c>
      <c r="X21" s="51">
        <v>63</v>
      </c>
      <c r="Y21" s="147">
        <v>82</v>
      </c>
      <c r="Z21" s="147">
        <v>79</v>
      </c>
      <c r="AA21" s="147">
        <v>90</v>
      </c>
      <c r="AB21" s="147" t="s">
        <v>34</v>
      </c>
      <c r="AC21" s="147" t="s">
        <v>34</v>
      </c>
      <c r="AD21" s="147">
        <v>90</v>
      </c>
      <c r="AE21" s="147">
        <v>73</v>
      </c>
      <c r="AF21" s="147">
        <v>45</v>
      </c>
      <c r="AG21" s="280" t="s">
        <v>34</v>
      </c>
      <c r="AH21" s="280" t="s">
        <v>34</v>
      </c>
      <c r="AI21" s="278">
        <v>45</v>
      </c>
      <c r="AJ21" s="279">
        <v>24</v>
      </c>
      <c r="AK21" s="328" t="s">
        <v>34</v>
      </c>
      <c r="AL21" s="186" t="s">
        <v>34</v>
      </c>
      <c r="AM21" s="72">
        <f t="shared" si="0"/>
        <v>1267</v>
      </c>
    </row>
    <row r="22" spans="1:39" x14ac:dyDescent="0.25">
      <c r="A22" s="29" t="s">
        <v>139</v>
      </c>
      <c r="B22" s="274" t="s">
        <v>708</v>
      </c>
      <c r="C22" s="275" t="s">
        <v>518</v>
      </c>
      <c r="D22" s="151"/>
      <c r="E22" s="115"/>
      <c r="F22" s="127"/>
      <c r="G22" s="72"/>
      <c r="H22" s="72">
        <v>0</v>
      </c>
      <c r="I22" s="151">
        <v>0</v>
      </c>
      <c r="J22" s="101">
        <v>1</v>
      </c>
      <c r="K22" s="151" t="s">
        <v>34</v>
      </c>
      <c r="L22" s="151" t="s">
        <v>34</v>
      </c>
      <c r="M22" s="151" t="s">
        <v>34</v>
      </c>
      <c r="N22" s="151" t="s">
        <v>34</v>
      </c>
      <c r="O22" s="151" t="s">
        <v>34</v>
      </c>
      <c r="P22" s="151" t="s">
        <v>34</v>
      </c>
      <c r="Q22" s="151" t="s">
        <v>34</v>
      </c>
      <c r="R22" s="151" t="s">
        <v>34</v>
      </c>
      <c r="S22" s="151" t="s">
        <v>34</v>
      </c>
      <c r="T22" s="151" t="s">
        <v>34</v>
      </c>
      <c r="U22" s="151" t="s">
        <v>34</v>
      </c>
      <c r="V22" s="151" t="s">
        <v>34</v>
      </c>
      <c r="W22" s="151" t="s">
        <v>34</v>
      </c>
      <c r="X22" s="151" t="s">
        <v>34</v>
      </c>
      <c r="Y22" s="151" t="s">
        <v>34</v>
      </c>
      <c r="Z22" s="151" t="s">
        <v>34</v>
      </c>
      <c r="AA22" s="151" t="s">
        <v>34</v>
      </c>
      <c r="AB22" s="151" t="s">
        <v>34</v>
      </c>
      <c r="AC22" s="151" t="s">
        <v>34</v>
      </c>
      <c r="AD22" s="151" t="s">
        <v>34</v>
      </c>
      <c r="AE22" s="151" t="s">
        <v>34</v>
      </c>
      <c r="AF22" s="151" t="s">
        <v>34</v>
      </c>
      <c r="AG22" s="151" t="s">
        <v>34</v>
      </c>
      <c r="AH22" s="151" t="s">
        <v>34</v>
      </c>
      <c r="AI22" s="151" t="s">
        <v>34</v>
      </c>
      <c r="AJ22" s="151" t="s">
        <v>34</v>
      </c>
      <c r="AK22" s="151" t="s">
        <v>34</v>
      </c>
      <c r="AL22" s="277">
        <v>0</v>
      </c>
      <c r="AM22" s="72">
        <f t="shared" si="0"/>
        <v>0</v>
      </c>
    </row>
    <row r="23" spans="1:39" x14ac:dyDescent="0.25">
      <c r="A23" s="29" t="s">
        <v>139</v>
      </c>
      <c r="B23" s="274" t="s">
        <v>394</v>
      </c>
      <c r="C23" s="275" t="s">
        <v>395</v>
      </c>
      <c r="D23" s="151"/>
      <c r="E23" s="115"/>
      <c r="F23" s="127">
        <v>4</v>
      </c>
      <c r="G23" s="72"/>
      <c r="H23" s="72">
        <v>21</v>
      </c>
      <c r="I23" s="151">
        <v>8</v>
      </c>
      <c r="J23" s="101">
        <v>16</v>
      </c>
      <c r="K23" s="281">
        <v>30</v>
      </c>
      <c r="L23" s="198">
        <v>33</v>
      </c>
      <c r="M23" s="198">
        <v>0</v>
      </c>
      <c r="N23" s="198">
        <v>30</v>
      </c>
      <c r="O23" s="198">
        <v>25</v>
      </c>
      <c r="P23" s="198">
        <v>0</v>
      </c>
      <c r="Q23" s="198">
        <v>30</v>
      </c>
      <c r="R23" s="147">
        <v>73</v>
      </c>
      <c r="S23" s="198">
        <v>15</v>
      </c>
      <c r="T23" s="198">
        <v>3</v>
      </c>
      <c r="U23" s="198">
        <v>23</v>
      </c>
      <c r="V23" s="198">
        <v>27</v>
      </c>
      <c r="W23" s="147" t="s">
        <v>34</v>
      </c>
      <c r="X23" s="195">
        <v>16</v>
      </c>
      <c r="Y23" s="198">
        <v>8</v>
      </c>
      <c r="Z23" s="277">
        <v>11</v>
      </c>
      <c r="AA23" s="198">
        <v>0</v>
      </c>
      <c r="AB23" s="147">
        <v>90</v>
      </c>
      <c r="AC23" s="147">
        <v>90</v>
      </c>
      <c r="AD23" s="147">
        <v>86</v>
      </c>
      <c r="AE23" s="147">
        <v>90</v>
      </c>
      <c r="AF23" s="147">
        <v>45</v>
      </c>
      <c r="AG23" s="279">
        <v>45</v>
      </c>
      <c r="AH23" s="147">
        <v>90</v>
      </c>
      <c r="AI23" s="147">
        <v>45</v>
      </c>
      <c r="AJ23" s="280" t="s">
        <v>34</v>
      </c>
      <c r="AK23" s="330" t="s">
        <v>34</v>
      </c>
      <c r="AL23" s="51" t="s">
        <v>34</v>
      </c>
      <c r="AM23" s="72">
        <f t="shared" si="0"/>
        <v>905</v>
      </c>
    </row>
    <row r="24" spans="1:39" x14ac:dyDescent="0.25">
      <c r="A24" s="29" t="s">
        <v>139</v>
      </c>
      <c r="B24" s="274" t="s">
        <v>400</v>
      </c>
      <c r="C24" s="275" t="s">
        <v>401</v>
      </c>
      <c r="D24" s="151"/>
      <c r="E24" s="115"/>
      <c r="F24" s="127">
        <v>1</v>
      </c>
      <c r="G24" s="72"/>
      <c r="H24" s="72">
        <v>18</v>
      </c>
      <c r="I24" s="151">
        <v>12</v>
      </c>
      <c r="J24" s="101">
        <v>6</v>
      </c>
      <c r="K24" s="151">
        <v>60</v>
      </c>
      <c r="L24" s="147">
        <v>79</v>
      </c>
      <c r="M24" s="147">
        <v>90</v>
      </c>
      <c r="N24" s="147">
        <v>90</v>
      </c>
      <c r="O24" s="147">
        <v>90</v>
      </c>
      <c r="P24" s="147">
        <v>90</v>
      </c>
      <c r="Q24" s="147">
        <v>90</v>
      </c>
      <c r="R24" s="147">
        <v>90</v>
      </c>
      <c r="S24" s="147">
        <v>90</v>
      </c>
      <c r="T24" s="280">
        <v>87</v>
      </c>
      <c r="U24" s="280" t="s">
        <v>34</v>
      </c>
      <c r="V24" s="147" t="s">
        <v>34</v>
      </c>
      <c r="W24" s="198">
        <v>12</v>
      </c>
      <c r="X24" s="195">
        <v>27</v>
      </c>
      <c r="Y24" s="147">
        <v>90</v>
      </c>
      <c r="Z24" s="277">
        <v>27</v>
      </c>
      <c r="AA24" s="147">
        <v>90</v>
      </c>
      <c r="AB24" s="198">
        <v>24</v>
      </c>
      <c r="AC24" s="278">
        <v>11</v>
      </c>
      <c r="AD24" s="147" t="s">
        <v>34</v>
      </c>
      <c r="AE24" s="198">
        <v>63</v>
      </c>
      <c r="AF24" s="147" t="s">
        <v>34</v>
      </c>
      <c r="AG24" s="280" t="s">
        <v>34</v>
      </c>
      <c r="AH24" s="280" t="s">
        <v>34</v>
      </c>
      <c r="AI24" s="147" t="s">
        <v>34</v>
      </c>
      <c r="AJ24" s="280" t="s">
        <v>34</v>
      </c>
      <c r="AK24" s="330" t="s">
        <v>34</v>
      </c>
      <c r="AL24" s="51" t="s">
        <v>34</v>
      </c>
      <c r="AM24" s="72">
        <f>SUM(K24:AL24)</f>
        <v>1200</v>
      </c>
    </row>
    <row r="25" spans="1:39" x14ac:dyDescent="0.25">
      <c r="A25" s="29" t="s">
        <v>139</v>
      </c>
      <c r="B25" s="274" t="s">
        <v>353</v>
      </c>
      <c r="C25" s="275" t="s">
        <v>149</v>
      </c>
      <c r="D25" s="151"/>
      <c r="E25" s="115"/>
      <c r="F25" s="127"/>
      <c r="G25" s="72">
        <v>1</v>
      </c>
      <c r="H25" s="72">
        <v>12</v>
      </c>
      <c r="I25" s="151">
        <v>10</v>
      </c>
      <c r="J25" s="101">
        <v>2</v>
      </c>
      <c r="K25" s="151">
        <v>90</v>
      </c>
      <c r="L25" s="147">
        <v>50</v>
      </c>
      <c r="M25" s="147" t="s">
        <v>34</v>
      </c>
      <c r="N25" s="147">
        <v>90</v>
      </c>
      <c r="O25" s="147">
        <v>90</v>
      </c>
      <c r="P25" s="147">
        <v>90</v>
      </c>
      <c r="Q25" s="198">
        <v>30</v>
      </c>
      <c r="R25" s="147">
        <v>90</v>
      </c>
      <c r="S25" s="147">
        <v>90</v>
      </c>
      <c r="T25" s="280">
        <v>90</v>
      </c>
      <c r="U25" s="198">
        <v>11</v>
      </c>
      <c r="V25" s="147">
        <v>90</v>
      </c>
      <c r="W25" s="147">
        <v>72</v>
      </c>
      <c r="X25" s="51" t="s">
        <v>34</v>
      </c>
      <c r="Y25" s="147" t="s">
        <v>34</v>
      </c>
      <c r="Z25" s="147" t="s">
        <v>34</v>
      </c>
      <c r="AA25" s="147" t="s">
        <v>34</v>
      </c>
      <c r="AB25" s="147" t="s">
        <v>34</v>
      </c>
      <c r="AC25" s="147" t="s">
        <v>34</v>
      </c>
      <c r="AD25" s="147" t="s">
        <v>34</v>
      </c>
      <c r="AE25" s="147" t="s">
        <v>34</v>
      </c>
      <c r="AF25" s="147" t="s">
        <v>34</v>
      </c>
      <c r="AG25" s="280" t="s">
        <v>34</v>
      </c>
      <c r="AH25" s="280" t="s">
        <v>34</v>
      </c>
      <c r="AI25" s="147" t="s">
        <v>34</v>
      </c>
      <c r="AJ25" s="280" t="s">
        <v>34</v>
      </c>
      <c r="AK25" s="330" t="s">
        <v>34</v>
      </c>
      <c r="AL25" s="51" t="s">
        <v>34</v>
      </c>
      <c r="AM25" s="72">
        <f>SUM(K25:AL25)</f>
        <v>883</v>
      </c>
    </row>
    <row r="26" spans="1:39" x14ac:dyDescent="0.25">
      <c r="A26" s="30" t="s">
        <v>140</v>
      </c>
      <c r="B26" s="274" t="s">
        <v>404</v>
      </c>
      <c r="C26" s="275" t="s">
        <v>405</v>
      </c>
      <c r="D26" s="151">
        <v>1</v>
      </c>
      <c r="E26" s="115"/>
      <c r="F26" s="127">
        <v>2</v>
      </c>
      <c r="G26" s="72">
        <v>1</v>
      </c>
      <c r="H26" s="72">
        <v>19</v>
      </c>
      <c r="I26" s="151">
        <v>8</v>
      </c>
      <c r="J26" s="101">
        <v>13</v>
      </c>
      <c r="K26" s="151">
        <v>90</v>
      </c>
      <c r="L26" s="147">
        <v>63</v>
      </c>
      <c r="M26" s="147" t="s">
        <v>34</v>
      </c>
      <c r="N26" s="147" t="s">
        <v>34</v>
      </c>
      <c r="O26" s="147" t="s">
        <v>34</v>
      </c>
      <c r="P26" s="198">
        <v>31</v>
      </c>
      <c r="Q26" s="147">
        <v>70</v>
      </c>
      <c r="R26" s="198">
        <v>17</v>
      </c>
      <c r="S26" s="147">
        <v>16</v>
      </c>
      <c r="T26" s="280" t="s">
        <v>34</v>
      </c>
      <c r="U26" s="280" t="s">
        <v>34</v>
      </c>
      <c r="V26" s="198">
        <v>16</v>
      </c>
      <c r="W26" s="198">
        <v>0</v>
      </c>
      <c r="X26" s="195">
        <v>27</v>
      </c>
      <c r="Y26" s="147">
        <v>82</v>
      </c>
      <c r="Z26" s="147">
        <v>72</v>
      </c>
      <c r="AA26" s="198">
        <v>26</v>
      </c>
      <c r="AB26" s="198">
        <v>9</v>
      </c>
      <c r="AC26" s="278">
        <v>0</v>
      </c>
      <c r="AD26" s="198">
        <v>31</v>
      </c>
      <c r="AE26" s="198">
        <v>17</v>
      </c>
      <c r="AF26" s="147" t="s">
        <v>34</v>
      </c>
      <c r="AG26" s="279">
        <v>45</v>
      </c>
      <c r="AH26" s="278">
        <v>28</v>
      </c>
      <c r="AI26" s="147">
        <v>66</v>
      </c>
      <c r="AJ26" s="280" t="s">
        <v>34</v>
      </c>
      <c r="AK26" s="331">
        <v>11</v>
      </c>
      <c r="AL26" s="51">
        <v>90</v>
      </c>
      <c r="AM26" s="72">
        <f t="shared" si="0"/>
        <v>706</v>
      </c>
    </row>
    <row r="27" spans="1:39" x14ac:dyDescent="0.25">
      <c r="A27" s="30" t="s">
        <v>140</v>
      </c>
      <c r="B27" s="274" t="s">
        <v>992</v>
      </c>
      <c r="C27" s="275" t="s">
        <v>993</v>
      </c>
      <c r="D27" s="151">
        <v>2</v>
      </c>
      <c r="E27" s="115"/>
      <c r="F27" s="127">
        <v>2</v>
      </c>
      <c r="G27" s="72">
        <v>1</v>
      </c>
      <c r="H27" s="72">
        <v>14</v>
      </c>
      <c r="I27" s="151">
        <v>14</v>
      </c>
      <c r="J27" s="101">
        <v>0</v>
      </c>
      <c r="K27" s="151" t="s">
        <v>34</v>
      </c>
      <c r="L27" s="147" t="s">
        <v>34</v>
      </c>
      <c r="M27" s="147" t="s">
        <v>34</v>
      </c>
      <c r="N27" s="147" t="s">
        <v>34</v>
      </c>
      <c r="O27" s="147" t="s">
        <v>34</v>
      </c>
      <c r="P27" s="147" t="s">
        <v>34</v>
      </c>
      <c r="Q27" s="147" t="s">
        <v>34</v>
      </c>
      <c r="R27" s="147" t="s">
        <v>34</v>
      </c>
      <c r="S27" s="147" t="s">
        <v>34</v>
      </c>
      <c r="T27" s="280" t="s">
        <v>34</v>
      </c>
      <c r="U27" s="280" t="s">
        <v>34</v>
      </c>
      <c r="V27" s="147" t="s">
        <v>34</v>
      </c>
      <c r="W27" s="147" t="s">
        <v>34</v>
      </c>
      <c r="X27" s="51">
        <v>90</v>
      </c>
      <c r="Y27" s="147">
        <v>90</v>
      </c>
      <c r="Z27" s="147">
        <v>90</v>
      </c>
      <c r="AA27" s="147">
        <v>90</v>
      </c>
      <c r="AB27" s="147">
        <v>89</v>
      </c>
      <c r="AC27" s="147" t="s">
        <v>34</v>
      </c>
      <c r="AD27" s="147">
        <v>90</v>
      </c>
      <c r="AE27" s="147">
        <v>90</v>
      </c>
      <c r="AF27" s="147">
        <v>90</v>
      </c>
      <c r="AG27" s="280">
        <v>90</v>
      </c>
      <c r="AH27" s="280">
        <v>69</v>
      </c>
      <c r="AI27" s="147">
        <v>90</v>
      </c>
      <c r="AJ27" s="280">
        <v>90</v>
      </c>
      <c r="AK27" s="330">
        <v>60</v>
      </c>
      <c r="AL27" s="51">
        <v>75</v>
      </c>
      <c r="AM27" s="72">
        <f t="shared" si="0"/>
        <v>1058</v>
      </c>
    </row>
    <row r="28" spans="1:39" x14ac:dyDescent="0.25">
      <c r="A28" s="30" t="s">
        <v>140</v>
      </c>
      <c r="B28" s="274" t="s">
        <v>354</v>
      </c>
      <c r="C28" s="275" t="s">
        <v>2</v>
      </c>
      <c r="D28" s="151">
        <v>2</v>
      </c>
      <c r="E28" s="115"/>
      <c r="F28" s="127">
        <v>2</v>
      </c>
      <c r="G28" s="72"/>
      <c r="H28" s="72">
        <v>24</v>
      </c>
      <c r="I28" s="151">
        <v>15</v>
      </c>
      <c r="J28" s="101">
        <v>12</v>
      </c>
      <c r="K28" s="151">
        <v>60</v>
      </c>
      <c r="L28" s="147">
        <v>66</v>
      </c>
      <c r="M28" s="147">
        <v>58</v>
      </c>
      <c r="N28" s="147">
        <v>60</v>
      </c>
      <c r="O28" s="198">
        <v>0</v>
      </c>
      <c r="P28" s="198">
        <v>31</v>
      </c>
      <c r="Q28" s="198">
        <v>20</v>
      </c>
      <c r="R28" s="198">
        <v>10</v>
      </c>
      <c r="S28" s="198">
        <v>0</v>
      </c>
      <c r="T28" s="198">
        <v>16</v>
      </c>
      <c r="U28" s="198">
        <v>23</v>
      </c>
      <c r="V28" s="198">
        <v>27</v>
      </c>
      <c r="W28" s="198">
        <v>12</v>
      </c>
      <c r="X28" s="51">
        <v>63</v>
      </c>
      <c r="Y28" s="147">
        <v>77</v>
      </c>
      <c r="Z28" s="147">
        <v>63</v>
      </c>
      <c r="AA28" s="198">
        <v>4</v>
      </c>
      <c r="AB28" s="147">
        <v>66</v>
      </c>
      <c r="AC28" s="147">
        <v>79</v>
      </c>
      <c r="AD28" s="147">
        <v>59</v>
      </c>
      <c r="AE28" s="147">
        <v>73</v>
      </c>
      <c r="AF28" s="147">
        <v>45</v>
      </c>
      <c r="AG28" s="279">
        <v>45</v>
      </c>
      <c r="AH28" s="278">
        <v>0</v>
      </c>
      <c r="AI28" s="147" t="s">
        <v>34</v>
      </c>
      <c r="AJ28" s="280">
        <v>66</v>
      </c>
      <c r="AK28" s="330">
        <v>79</v>
      </c>
      <c r="AL28" s="51">
        <v>90</v>
      </c>
      <c r="AM28" s="72">
        <f t="shared" si="0"/>
        <v>1023</v>
      </c>
    </row>
    <row r="29" spans="1:39" x14ac:dyDescent="0.25">
      <c r="A29" s="30" t="s">
        <v>140</v>
      </c>
      <c r="B29" s="274" t="s">
        <v>997</v>
      </c>
      <c r="C29" s="275" t="s">
        <v>392</v>
      </c>
      <c r="D29" s="151"/>
      <c r="E29" s="115"/>
      <c r="F29" s="127"/>
      <c r="G29" s="72"/>
      <c r="H29" s="72">
        <v>7</v>
      </c>
      <c r="I29" s="151">
        <v>5</v>
      </c>
      <c r="J29" s="101">
        <v>4</v>
      </c>
      <c r="K29" s="151" t="s">
        <v>34</v>
      </c>
      <c r="L29" s="147" t="s">
        <v>34</v>
      </c>
      <c r="M29" s="147" t="s">
        <v>34</v>
      </c>
      <c r="N29" s="147" t="s">
        <v>34</v>
      </c>
      <c r="O29" s="147" t="s">
        <v>34</v>
      </c>
      <c r="P29" s="147" t="s">
        <v>34</v>
      </c>
      <c r="Q29" s="147" t="s">
        <v>34</v>
      </c>
      <c r="R29" s="147" t="s">
        <v>34</v>
      </c>
      <c r="S29" s="147" t="s">
        <v>34</v>
      </c>
      <c r="T29" s="280" t="s">
        <v>34</v>
      </c>
      <c r="U29" s="147" t="s">
        <v>34</v>
      </c>
      <c r="V29" s="147" t="s">
        <v>34</v>
      </c>
      <c r="W29" s="147" t="s">
        <v>34</v>
      </c>
      <c r="X29" s="51" t="s">
        <v>34</v>
      </c>
      <c r="Y29" s="147" t="s">
        <v>34</v>
      </c>
      <c r="Z29" s="147">
        <v>63</v>
      </c>
      <c r="AA29" s="147">
        <v>86</v>
      </c>
      <c r="AB29" s="147">
        <v>90</v>
      </c>
      <c r="AC29" s="278">
        <v>11</v>
      </c>
      <c r="AD29" s="147">
        <v>90</v>
      </c>
      <c r="AE29" s="147">
        <v>27</v>
      </c>
      <c r="AF29" s="147" t="s">
        <v>34</v>
      </c>
      <c r="AG29" s="280" t="s">
        <v>34</v>
      </c>
      <c r="AH29" s="147" t="s">
        <v>34</v>
      </c>
      <c r="AI29" s="147" t="s">
        <v>34</v>
      </c>
      <c r="AJ29" s="279">
        <v>0</v>
      </c>
      <c r="AK29" s="331">
        <v>0</v>
      </c>
      <c r="AL29" s="277">
        <v>22</v>
      </c>
      <c r="AM29" s="72">
        <f t="shared" si="0"/>
        <v>367</v>
      </c>
    </row>
    <row r="30" spans="1:39" x14ac:dyDescent="0.25">
      <c r="A30" s="30" t="s">
        <v>140</v>
      </c>
      <c r="B30" s="274" t="s">
        <v>585</v>
      </c>
      <c r="C30" s="275" t="s">
        <v>807</v>
      </c>
      <c r="D30" s="151"/>
      <c r="E30" s="115"/>
      <c r="F30" s="127"/>
      <c r="G30" s="72"/>
      <c r="H30" s="72">
        <v>2</v>
      </c>
      <c r="I30" s="151">
        <v>0</v>
      </c>
      <c r="J30" s="101">
        <v>5</v>
      </c>
      <c r="K30" s="151" t="s">
        <v>34</v>
      </c>
      <c r="L30" s="147" t="s">
        <v>34</v>
      </c>
      <c r="M30" s="147" t="s">
        <v>34</v>
      </c>
      <c r="N30" s="147" t="s">
        <v>34</v>
      </c>
      <c r="O30" s="147" t="s">
        <v>34</v>
      </c>
      <c r="P30" s="147" t="s">
        <v>34</v>
      </c>
      <c r="Q30" s="147" t="s">
        <v>34</v>
      </c>
      <c r="R30" s="147" t="s">
        <v>34</v>
      </c>
      <c r="S30" s="147" t="s">
        <v>34</v>
      </c>
      <c r="T30" s="280" t="s">
        <v>34</v>
      </c>
      <c r="U30" s="147" t="s">
        <v>34</v>
      </c>
      <c r="V30" s="147" t="s">
        <v>34</v>
      </c>
      <c r="W30" s="147" t="s">
        <v>34</v>
      </c>
      <c r="X30" s="51" t="s">
        <v>34</v>
      </c>
      <c r="Y30" s="147" t="s">
        <v>34</v>
      </c>
      <c r="Z30" s="147" t="s">
        <v>34</v>
      </c>
      <c r="AA30" s="147" t="s">
        <v>34</v>
      </c>
      <c r="AB30" s="147" t="s">
        <v>34</v>
      </c>
      <c r="AC30" s="114" t="s">
        <v>34</v>
      </c>
      <c r="AD30" s="147" t="s">
        <v>34</v>
      </c>
      <c r="AE30" s="147" t="s">
        <v>34</v>
      </c>
      <c r="AF30" s="147" t="s">
        <v>34</v>
      </c>
      <c r="AG30" s="154">
        <v>0</v>
      </c>
      <c r="AH30" s="147" t="s">
        <v>34</v>
      </c>
      <c r="AI30" s="278">
        <v>0</v>
      </c>
      <c r="AJ30" s="279">
        <v>0</v>
      </c>
      <c r="AK30" s="331">
        <v>22</v>
      </c>
      <c r="AL30" s="277">
        <v>15</v>
      </c>
      <c r="AM30" s="72">
        <f t="shared" si="0"/>
        <v>0</v>
      </c>
    </row>
    <row r="31" spans="1:39" x14ac:dyDescent="0.25">
      <c r="A31" s="30" t="s">
        <v>140</v>
      </c>
      <c r="B31" s="274" t="s">
        <v>346</v>
      </c>
      <c r="C31" s="275" t="s">
        <v>386</v>
      </c>
      <c r="D31" s="151">
        <v>4</v>
      </c>
      <c r="E31" s="115"/>
      <c r="F31" s="127">
        <v>2</v>
      </c>
      <c r="G31" s="72">
        <v>1</v>
      </c>
      <c r="H31" s="72">
        <v>11</v>
      </c>
      <c r="I31" s="151">
        <v>9</v>
      </c>
      <c r="J31" s="101">
        <v>3</v>
      </c>
      <c r="K31" s="281">
        <v>30</v>
      </c>
      <c r="L31" s="198">
        <v>0</v>
      </c>
      <c r="M31" s="147">
        <v>90</v>
      </c>
      <c r="N31" s="147">
        <v>80</v>
      </c>
      <c r="O31" s="147">
        <v>90</v>
      </c>
      <c r="P31" s="147">
        <v>90</v>
      </c>
      <c r="Q31" s="147">
        <v>60</v>
      </c>
      <c r="R31" s="147">
        <v>80</v>
      </c>
      <c r="S31" s="198">
        <v>67</v>
      </c>
      <c r="T31" s="280">
        <v>74</v>
      </c>
      <c r="U31" s="147">
        <v>79</v>
      </c>
      <c r="V31" s="147">
        <v>70</v>
      </c>
      <c r="W31" s="147" t="s">
        <v>34</v>
      </c>
      <c r="X31" s="51" t="s">
        <v>34</v>
      </c>
      <c r="Y31" s="147" t="s">
        <v>34</v>
      </c>
      <c r="Z31" s="147" t="s">
        <v>34</v>
      </c>
      <c r="AA31" s="147" t="s">
        <v>34</v>
      </c>
      <c r="AB31" s="147" t="s">
        <v>34</v>
      </c>
      <c r="AC31" s="147" t="s">
        <v>34</v>
      </c>
      <c r="AD31" s="147" t="s">
        <v>34</v>
      </c>
      <c r="AE31" s="147" t="s">
        <v>34</v>
      </c>
      <c r="AF31" s="147" t="s">
        <v>34</v>
      </c>
      <c r="AG31" s="280" t="s">
        <v>34</v>
      </c>
      <c r="AH31" s="147" t="s">
        <v>34</v>
      </c>
      <c r="AI31" s="147" t="s">
        <v>34</v>
      </c>
      <c r="AJ31" s="280" t="s">
        <v>34</v>
      </c>
      <c r="AK31" s="330" t="s">
        <v>34</v>
      </c>
      <c r="AL31" s="51" t="s">
        <v>34</v>
      </c>
      <c r="AM31" s="72">
        <f t="shared" si="0"/>
        <v>810</v>
      </c>
    </row>
    <row r="32" spans="1:39" x14ac:dyDescent="0.25">
      <c r="A32" s="30" t="s">
        <v>140</v>
      </c>
      <c r="B32" s="269" t="s">
        <v>1009</v>
      </c>
      <c r="C32" s="268" t="s">
        <v>598</v>
      </c>
      <c r="D32" s="151"/>
      <c r="E32" s="115"/>
      <c r="F32" s="267"/>
      <c r="G32" s="181"/>
      <c r="H32" s="72">
        <v>0</v>
      </c>
      <c r="I32" s="151">
        <v>0</v>
      </c>
      <c r="J32" s="219">
        <v>4</v>
      </c>
      <c r="K32" s="151" t="s">
        <v>34</v>
      </c>
      <c r="L32" s="147" t="s">
        <v>34</v>
      </c>
      <c r="M32" s="147" t="s">
        <v>34</v>
      </c>
      <c r="N32" s="147" t="s">
        <v>34</v>
      </c>
      <c r="O32" s="147" t="s">
        <v>34</v>
      </c>
      <c r="P32" s="147" t="s">
        <v>34</v>
      </c>
      <c r="Q32" s="147" t="s">
        <v>34</v>
      </c>
      <c r="R32" s="147" t="s">
        <v>34</v>
      </c>
      <c r="S32" s="147" t="s">
        <v>34</v>
      </c>
      <c r="T32" s="280" t="s">
        <v>34</v>
      </c>
      <c r="U32" s="147" t="s">
        <v>34</v>
      </c>
      <c r="V32" s="147" t="s">
        <v>34</v>
      </c>
      <c r="W32" s="282" t="s">
        <v>34</v>
      </c>
      <c r="X32" s="51" t="s">
        <v>34</v>
      </c>
      <c r="Y32" s="147" t="s">
        <v>34</v>
      </c>
      <c r="Z32" s="147" t="s">
        <v>34</v>
      </c>
      <c r="AA32" s="147" t="s">
        <v>34</v>
      </c>
      <c r="AB32" s="147" t="s">
        <v>34</v>
      </c>
      <c r="AC32" s="147" t="s">
        <v>34</v>
      </c>
      <c r="AD32" s="147" t="s">
        <v>34</v>
      </c>
      <c r="AE32" s="147" t="s">
        <v>34</v>
      </c>
      <c r="AF32" s="147" t="s">
        <v>34</v>
      </c>
      <c r="AG32" s="280" t="s">
        <v>34</v>
      </c>
      <c r="AH32" s="198">
        <v>0</v>
      </c>
      <c r="AI32" s="278">
        <v>0</v>
      </c>
      <c r="AJ32" s="280" t="s">
        <v>34</v>
      </c>
      <c r="AK32" s="331">
        <v>0</v>
      </c>
      <c r="AL32" s="277">
        <v>0</v>
      </c>
      <c r="AM32" s="72">
        <f t="shared" si="0"/>
        <v>0</v>
      </c>
    </row>
    <row r="33" spans="1:39" ht="15.75" thickBot="1" x14ac:dyDescent="0.3">
      <c r="A33" s="30" t="s">
        <v>140</v>
      </c>
      <c r="B33" s="283" t="s">
        <v>398</v>
      </c>
      <c r="C33" s="284" t="s">
        <v>530</v>
      </c>
      <c r="D33" s="151">
        <v>4</v>
      </c>
      <c r="E33" s="115"/>
      <c r="F33" s="121">
        <v>2</v>
      </c>
      <c r="G33" s="73"/>
      <c r="H33" s="72">
        <v>23</v>
      </c>
      <c r="I33" s="151">
        <v>11</v>
      </c>
      <c r="J33" s="122">
        <v>16</v>
      </c>
      <c r="K33" s="281">
        <v>30</v>
      </c>
      <c r="L33" s="198">
        <v>26</v>
      </c>
      <c r="M33" s="198">
        <v>32</v>
      </c>
      <c r="N33" s="198">
        <v>30</v>
      </c>
      <c r="O33" s="147">
        <v>85</v>
      </c>
      <c r="P33" s="147">
        <v>59</v>
      </c>
      <c r="Q33" s="198">
        <v>30</v>
      </c>
      <c r="R33" s="198">
        <v>0</v>
      </c>
      <c r="S33" s="147" t="s">
        <v>34</v>
      </c>
      <c r="T33" s="198">
        <v>0</v>
      </c>
      <c r="U33" s="198">
        <v>0</v>
      </c>
      <c r="V33" s="198">
        <v>16</v>
      </c>
      <c r="W33" s="285">
        <v>78</v>
      </c>
      <c r="X33" s="51">
        <v>90</v>
      </c>
      <c r="Y33" s="198">
        <v>13</v>
      </c>
      <c r="Z33" s="198">
        <v>27</v>
      </c>
      <c r="AA33" s="198">
        <v>0</v>
      </c>
      <c r="AB33" s="147">
        <v>81</v>
      </c>
      <c r="AC33" s="147">
        <v>90</v>
      </c>
      <c r="AD33" s="147">
        <v>69</v>
      </c>
      <c r="AE33" s="147">
        <v>90</v>
      </c>
      <c r="AF33" s="147">
        <v>90</v>
      </c>
      <c r="AG33" s="280">
        <v>90</v>
      </c>
      <c r="AH33" s="147">
        <v>62</v>
      </c>
      <c r="AI33" s="198">
        <v>30</v>
      </c>
      <c r="AJ33" s="154">
        <v>14</v>
      </c>
      <c r="AK33" s="329">
        <v>11</v>
      </c>
      <c r="AL33" s="334">
        <v>10</v>
      </c>
      <c r="AM33" s="73">
        <f t="shared" si="0"/>
        <v>1132</v>
      </c>
    </row>
    <row r="34" spans="1:39" ht="15.75" thickBot="1" x14ac:dyDescent="0.3">
      <c r="B34" s="21"/>
      <c r="C34" s="19" t="s">
        <v>35</v>
      </c>
      <c r="D34" s="163"/>
      <c r="E34" s="193" t="s">
        <v>171</v>
      </c>
      <c r="F34" s="193" t="s">
        <v>171</v>
      </c>
      <c r="G34" s="193" t="s">
        <v>171</v>
      </c>
      <c r="H34" s="193" t="s">
        <v>364</v>
      </c>
      <c r="I34" s="56" t="s">
        <v>171</v>
      </c>
      <c r="J34" s="56" t="s">
        <v>171</v>
      </c>
      <c r="K34" s="35" t="s">
        <v>171</v>
      </c>
      <c r="L34" s="35" t="s">
        <v>171</v>
      </c>
      <c r="M34" s="35" t="s">
        <v>171</v>
      </c>
      <c r="N34" s="35" t="s">
        <v>171</v>
      </c>
      <c r="O34" s="35" t="s">
        <v>171</v>
      </c>
      <c r="P34" s="35" t="s">
        <v>171</v>
      </c>
      <c r="Q34" s="35" t="s">
        <v>171</v>
      </c>
      <c r="R34" s="35" t="s">
        <v>171</v>
      </c>
      <c r="S34" s="35" t="s">
        <v>171</v>
      </c>
      <c r="T34" s="35" t="s">
        <v>171</v>
      </c>
      <c r="U34" s="35" t="s">
        <v>171</v>
      </c>
      <c r="V34" s="35" t="s">
        <v>171</v>
      </c>
      <c r="W34" s="35" t="s">
        <v>171</v>
      </c>
      <c r="X34" s="35" t="s">
        <v>171</v>
      </c>
      <c r="Y34" s="35" t="s">
        <v>171</v>
      </c>
      <c r="Z34" s="35" t="s">
        <v>171</v>
      </c>
      <c r="AA34" s="35" t="s">
        <v>171</v>
      </c>
      <c r="AB34" s="35" t="s">
        <v>171</v>
      </c>
      <c r="AC34" s="35" t="s">
        <v>171</v>
      </c>
      <c r="AD34" s="35" t="s">
        <v>171</v>
      </c>
      <c r="AE34" s="35" t="s">
        <v>171</v>
      </c>
      <c r="AF34" s="35" t="s">
        <v>171</v>
      </c>
      <c r="AG34" s="35" t="s">
        <v>171</v>
      </c>
      <c r="AH34" s="35" t="s">
        <v>171</v>
      </c>
      <c r="AI34" s="35" t="s">
        <v>171</v>
      </c>
      <c r="AJ34" s="35" t="s">
        <v>171</v>
      </c>
      <c r="AK34" s="35"/>
      <c r="AL34" s="35"/>
      <c r="AM34" s="35" t="s">
        <v>171</v>
      </c>
    </row>
    <row r="35" spans="1:39" ht="15.75" thickBot="1" x14ac:dyDescent="0.3">
      <c r="B35" s="21"/>
      <c r="C35" s="34" t="s">
        <v>172</v>
      </c>
      <c r="D35" s="163">
        <f>SUM(D6:D33)</f>
        <v>24</v>
      </c>
      <c r="E35" s="163">
        <f>SUM(E6:E33)</f>
        <v>3</v>
      </c>
      <c r="F35" s="38">
        <f>SUM(F3:F33)</f>
        <v>85</v>
      </c>
      <c r="G35" s="38">
        <f>SUM(G3:G33)</f>
        <v>9</v>
      </c>
      <c r="H35" s="193" t="s">
        <v>364</v>
      </c>
      <c r="I35" s="58" t="s">
        <v>171</v>
      </c>
      <c r="J35" s="58" t="s">
        <v>171</v>
      </c>
      <c r="K35" s="36" t="s">
        <v>171</v>
      </c>
      <c r="L35" s="36" t="s">
        <v>171</v>
      </c>
      <c r="M35" s="36" t="s">
        <v>171</v>
      </c>
      <c r="N35" s="36" t="s">
        <v>171</v>
      </c>
      <c r="O35" s="36" t="s">
        <v>171</v>
      </c>
      <c r="P35" s="36" t="s">
        <v>171</v>
      </c>
      <c r="Q35" s="36" t="s">
        <v>171</v>
      </c>
      <c r="R35" s="36" t="s">
        <v>171</v>
      </c>
      <c r="S35" s="36" t="s">
        <v>171</v>
      </c>
      <c r="T35" s="36" t="s">
        <v>171</v>
      </c>
      <c r="U35" s="36" t="s">
        <v>171</v>
      </c>
      <c r="V35" s="36" t="s">
        <v>171</v>
      </c>
      <c r="W35" s="36" t="s">
        <v>171</v>
      </c>
      <c r="X35" s="36" t="s">
        <v>171</v>
      </c>
      <c r="Y35" s="36" t="s">
        <v>171</v>
      </c>
      <c r="Z35" s="36" t="s">
        <v>171</v>
      </c>
      <c r="AA35" s="36" t="s">
        <v>171</v>
      </c>
      <c r="AB35" s="36" t="s">
        <v>171</v>
      </c>
      <c r="AC35" s="36" t="s">
        <v>171</v>
      </c>
      <c r="AD35" s="36" t="s">
        <v>171</v>
      </c>
      <c r="AE35" s="36" t="s">
        <v>171</v>
      </c>
      <c r="AF35" s="36" t="s">
        <v>171</v>
      </c>
      <c r="AG35" s="36" t="s">
        <v>171</v>
      </c>
      <c r="AH35" s="36" t="s">
        <v>171</v>
      </c>
      <c r="AI35" s="36" t="s">
        <v>171</v>
      </c>
      <c r="AJ35" s="36" t="s">
        <v>171</v>
      </c>
      <c r="AK35" s="36"/>
      <c r="AL35" s="36"/>
      <c r="AM35" s="36" t="s">
        <v>171</v>
      </c>
    </row>
    <row r="36" spans="1:39" ht="15.75" thickBot="1" x14ac:dyDescent="0.3">
      <c r="B36" s="21"/>
      <c r="C36" s="20" t="s">
        <v>173</v>
      </c>
      <c r="D36" s="163">
        <f>SUM(D6:D34)</f>
        <v>24</v>
      </c>
      <c r="E36" s="163">
        <f>SUM(E9:E34)</f>
        <v>3</v>
      </c>
      <c r="F36" s="38">
        <f>SUM(F3:F34)</f>
        <v>85</v>
      </c>
      <c r="G36" s="38">
        <f>SUM(G3:G34)</f>
        <v>9</v>
      </c>
      <c r="H36" s="231" t="s">
        <v>364</v>
      </c>
      <c r="I36" s="57" t="s">
        <v>171</v>
      </c>
      <c r="J36" s="57" t="s">
        <v>171</v>
      </c>
      <c r="K36" s="37" t="s">
        <v>171</v>
      </c>
      <c r="L36" s="37" t="s">
        <v>171</v>
      </c>
      <c r="M36" s="37" t="s">
        <v>171</v>
      </c>
      <c r="N36" s="37" t="s">
        <v>171</v>
      </c>
      <c r="O36" s="37" t="s">
        <v>171</v>
      </c>
      <c r="P36" s="37" t="s">
        <v>171</v>
      </c>
      <c r="Q36" s="37" t="s">
        <v>171</v>
      </c>
      <c r="R36" s="37" t="s">
        <v>171</v>
      </c>
      <c r="S36" s="37" t="s">
        <v>171</v>
      </c>
      <c r="T36" s="37" t="s">
        <v>171</v>
      </c>
      <c r="U36" s="37" t="s">
        <v>171</v>
      </c>
      <c r="V36" s="37" t="s">
        <v>171</v>
      </c>
      <c r="W36" s="37" t="s">
        <v>171</v>
      </c>
      <c r="X36" s="37" t="s">
        <v>171</v>
      </c>
      <c r="Y36" s="37" t="s">
        <v>171</v>
      </c>
      <c r="Z36" s="37" t="s">
        <v>171</v>
      </c>
      <c r="AA36" s="37" t="s">
        <v>171</v>
      </c>
      <c r="AB36" s="37" t="s">
        <v>171</v>
      </c>
      <c r="AC36" s="37" t="s">
        <v>171</v>
      </c>
      <c r="AD36" s="37" t="s">
        <v>171</v>
      </c>
      <c r="AE36" s="37" t="s">
        <v>171</v>
      </c>
      <c r="AF36" s="37" t="s">
        <v>171</v>
      </c>
      <c r="AG36" s="37" t="s">
        <v>171</v>
      </c>
      <c r="AH36" s="37" t="s">
        <v>171</v>
      </c>
      <c r="AI36" s="37" t="s">
        <v>171</v>
      </c>
      <c r="AJ36" s="37" t="s">
        <v>171</v>
      </c>
      <c r="AK36" s="37"/>
      <c r="AL36" s="37"/>
      <c r="AM36" s="37" t="s">
        <v>171</v>
      </c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F35:F36" formula="1"/>
    <ignoredError sqref="D35:D36 AM3 AM13 AM28 AM10:AM11 AM14:AM16" formulaRange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44"/>
  <sheetViews>
    <sheetView zoomScaleNormal="100" workbookViewId="0">
      <pane xSplit="16" ySplit="3" topLeftCell="Q16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20.5703125" bestFit="1" customWidth="1"/>
    <col min="4" max="16" width="6.7109375" style="1" customWidth="1"/>
    <col min="17" max="17" width="17.85546875" style="1" customWidth="1"/>
    <col min="18" max="18" width="16.28515625" style="1" customWidth="1"/>
    <col min="19" max="19" width="14.85546875" style="1" customWidth="1"/>
    <col min="20" max="20" width="14.42578125" style="1" customWidth="1"/>
    <col min="21" max="21" width="20" style="1" customWidth="1"/>
    <col min="22" max="23" width="18.28515625" style="1" customWidth="1"/>
    <col min="24" max="24" width="17.28515625" style="1" customWidth="1"/>
    <col min="25" max="25" width="18.28515625" style="1" customWidth="1"/>
    <col min="26" max="28" width="16.42578125" style="1" customWidth="1"/>
    <col min="29" max="29" width="19.5703125" style="1" customWidth="1"/>
    <col min="30" max="36" width="16.42578125" style="1" customWidth="1"/>
    <col min="37" max="37" width="19" style="1" customWidth="1"/>
    <col min="38" max="39" width="16.42578125" style="1" customWidth="1"/>
    <col min="40" max="40" width="19.140625" style="1" bestFit="1" customWidth="1"/>
    <col min="41" max="41" width="18.28515625" style="1" customWidth="1"/>
    <col min="42" max="42" width="17.5703125" style="1" customWidth="1"/>
    <col min="43" max="45" width="17.85546875" customWidth="1"/>
    <col min="46" max="46" width="19.28515625" customWidth="1"/>
    <col min="47" max="53" width="17.85546875" customWidth="1"/>
    <col min="54" max="54" width="19.5703125" customWidth="1"/>
    <col min="55" max="59" width="17.85546875" customWidth="1"/>
    <col min="60" max="60" width="17" customWidth="1"/>
    <col min="61" max="61" width="17.85546875" customWidth="1"/>
    <col min="62" max="62" width="19.140625" customWidth="1"/>
    <col min="63" max="64" width="17.85546875" customWidth="1"/>
    <col min="65" max="65" width="19.42578125" customWidth="1"/>
    <col min="66" max="66" width="17" customWidth="1"/>
    <col min="67" max="67" width="14.5703125" customWidth="1"/>
  </cols>
  <sheetData>
    <row r="1" spans="1:73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6"/>
      <c r="Q1" s="12" t="s">
        <v>37</v>
      </c>
      <c r="R1" s="12" t="s">
        <v>39</v>
      </c>
      <c r="S1" s="12" t="s">
        <v>38</v>
      </c>
      <c r="T1" s="12" t="s">
        <v>40</v>
      </c>
      <c r="U1" s="12" t="s">
        <v>42</v>
      </c>
      <c r="V1" s="12" t="s">
        <v>43</v>
      </c>
      <c r="W1" s="12" t="s">
        <v>44</v>
      </c>
      <c r="X1" s="12" t="s">
        <v>48</v>
      </c>
      <c r="Y1" s="12" t="s">
        <v>50</v>
      </c>
      <c r="Z1" s="12" t="s">
        <v>135</v>
      </c>
      <c r="AA1" s="12" t="s">
        <v>136</v>
      </c>
      <c r="AB1" s="12" t="s">
        <v>142</v>
      </c>
      <c r="AC1" s="24" t="s">
        <v>143</v>
      </c>
      <c r="AD1" s="12" t="s">
        <v>144</v>
      </c>
      <c r="AE1" s="12" t="s">
        <v>145</v>
      </c>
      <c r="AF1" s="12" t="s">
        <v>146</v>
      </c>
      <c r="AG1" s="12" t="s">
        <v>147</v>
      </c>
      <c r="AH1" s="12" t="s">
        <v>148</v>
      </c>
      <c r="AI1" s="12" t="s">
        <v>150</v>
      </c>
      <c r="AJ1" s="12" t="s">
        <v>151</v>
      </c>
      <c r="AK1" s="12" t="s">
        <v>152</v>
      </c>
      <c r="AL1" s="12" t="s">
        <v>153</v>
      </c>
      <c r="AM1" s="12" t="s">
        <v>154</v>
      </c>
      <c r="AN1" s="12" t="s">
        <v>155</v>
      </c>
      <c r="AO1" s="12" t="s">
        <v>157</v>
      </c>
      <c r="AP1" s="12" t="s">
        <v>156</v>
      </c>
      <c r="AQ1" s="12" t="s">
        <v>162</v>
      </c>
      <c r="AR1" s="12" t="s">
        <v>163</v>
      </c>
      <c r="AS1" s="12" t="s">
        <v>164</v>
      </c>
      <c r="AT1" s="12" t="s">
        <v>165</v>
      </c>
      <c r="AU1" s="12" t="s">
        <v>166</v>
      </c>
      <c r="AV1" s="12" t="s">
        <v>167</v>
      </c>
      <c r="AW1" s="12" t="s">
        <v>168</v>
      </c>
      <c r="AX1" s="12" t="s">
        <v>175</v>
      </c>
      <c r="AY1" s="12" t="s">
        <v>176</v>
      </c>
      <c r="AZ1" s="12" t="s">
        <v>177</v>
      </c>
      <c r="BA1" s="12" t="s">
        <v>178</v>
      </c>
      <c r="BB1" s="24" t="s">
        <v>179</v>
      </c>
      <c r="BC1" s="12" t="s">
        <v>180</v>
      </c>
      <c r="BD1" s="12" t="s">
        <v>181</v>
      </c>
      <c r="BE1" s="12" t="s">
        <v>183</v>
      </c>
      <c r="BF1" s="12" t="s">
        <v>182</v>
      </c>
      <c r="BG1" s="12" t="s">
        <v>184</v>
      </c>
      <c r="BH1" s="12" t="s">
        <v>185</v>
      </c>
      <c r="BI1" s="12" t="s">
        <v>186</v>
      </c>
      <c r="BJ1" s="12" t="s">
        <v>187</v>
      </c>
      <c r="BK1" s="12" t="s">
        <v>188</v>
      </c>
      <c r="BL1" s="12" t="s">
        <v>190</v>
      </c>
      <c r="BM1" s="12" t="s">
        <v>189</v>
      </c>
      <c r="BN1" s="12" t="s">
        <v>158</v>
      </c>
      <c r="BO1" s="12" t="s">
        <v>159</v>
      </c>
    </row>
    <row r="2" spans="1:73" s="1" customFormat="1" ht="15.75" thickBot="1" x14ac:dyDescent="0.3">
      <c r="A2" s="384" t="s">
        <v>137</v>
      </c>
      <c r="B2" s="384" t="s">
        <v>26</v>
      </c>
      <c r="C2" s="384" t="s">
        <v>25</v>
      </c>
      <c r="D2" s="389" t="s">
        <v>27</v>
      </c>
      <c r="E2" s="390"/>
      <c r="F2" s="389" t="s">
        <v>28</v>
      </c>
      <c r="G2" s="390"/>
      <c r="H2" s="387" t="s">
        <v>32</v>
      </c>
      <c r="I2" s="388"/>
      <c r="J2" s="387" t="s">
        <v>33</v>
      </c>
      <c r="K2" s="388"/>
      <c r="L2" s="384" t="s">
        <v>363</v>
      </c>
      <c r="M2" s="387" t="s">
        <v>29</v>
      </c>
      <c r="N2" s="388"/>
      <c r="O2" s="387" t="s">
        <v>30</v>
      </c>
      <c r="P2" s="388"/>
      <c r="Q2" s="384" t="s">
        <v>41</v>
      </c>
      <c r="R2" s="384" t="s">
        <v>41</v>
      </c>
      <c r="S2" s="384" t="s">
        <v>41</v>
      </c>
      <c r="T2" s="384" t="s">
        <v>41</v>
      </c>
      <c r="U2" s="384" t="s">
        <v>41</v>
      </c>
      <c r="V2" s="384" t="s">
        <v>41</v>
      </c>
      <c r="W2" s="384" t="s">
        <v>41</v>
      </c>
      <c r="X2" s="384" t="s">
        <v>41</v>
      </c>
      <c r="Y2" s="384" t="s">
        <v>41</v>
      </c>
      <c r="Z2" s="384" t="s">
        <v>41</v>
      </c>
      <c r="AA2" s="384" t="s">
        <v>41</v>
      </c>
      <c r="AB2" s="384" t="s">
        <v>41</v>
      </c>
      <c r="AC2" s="384" t="s">
        <v>41</v>
      </c>
      <c r="AD2" s="384" t="s">
        <v>41</v>
      </c>
      <c r="AE2" s="384" t="s">
        <v>41</v>
      </c>
      <c r="AF2" s="384" t="s">
        <v>41</v>
      </c>
      <c r="AG2" s="384" t="s">
        <v>41</v>
      </c>
      <c r="AH2" s="384" t="s">
        <v>41</v>
      </c>
      <c r="AI2" s="384" t="s">
        <v>41</v>
      </c>
      <c r="AJ2" s="384" t="s">
        <v>41</v>
      </c>
      <c r="AK2" s="384" t="s">
        <v>41</v>
      </c>
      <c r="AL2" s="384" t="s">
        <v>41</v>
      </c>
      <c r="AM2" s="384" t="s">
        <v>41</v>
      </c>
      <c r="AN2" s="384" t="s">
        <v>41</v>
      </c>
      <c r="AO2" s="384" t="s">
        <v>41</v>
      </c>
      <c r="AP2" s="384" t="s">
        <v>41</v>
      </c>
      <c r="AQ2" s="384" t="s">
        <v>41</v>
      </c>
      <c r="AR2" s="384" t="s">
        <v>41</v>
      </c>
      <c r="AS2" s="384" t="s">
        <v>41</v>
      </c>
      <c r="AT2" s="384" t="s">
        <v>41</v>
      </c>
      <c r="AU2" s="384" t="s">
        <v>41</v>
      </c>
      <c r="AV2" s="384" t="s">
        <v>41</v>
      </c>
      <c r="AW2" s="384" t="s">
        <v>41</v>
      </c>
      <c r="AX2" s="384" t="s">
        <v>41</v>
      </c>
      <c r="AY2" s="384" t="s">
        <v>41</v>
      </c>
      <c r="AZ2" s="384" t="s">
        <v>41</v>
      </c>
      <c r="BA2" s="384" t="s">
        <v>41</v>
      </c>
      <c r="BB2" s="384" t="s">
        <v>41</v>
      </c>
      <c r="BC2" s="384" t="s">
        <v>41</v>
      </c>
      <c r="BD2" s="384" t="s">
        <v>41</v>
      </c>
      <c r="BE2" s="384" t="s">
        <v>41</v>
      </c>
      <c r="BF2" s="384" t="s">
        <v>41</v>
      </c>
      <c r="BG2" s="384" t="s">
        <v>41</v>
      </c>
      <c r="BH2" s="384" t="s">
        <v>41</v>
      </c>
      <c r="BI2" s="384" t="s">
        <v>41</v>
      </c>
      <c r="BJ2" s="384" t="s">
        <v>41</v>
      </c>
      <c r="BK2" s="384" t="s">
        <v>41</v>
      </c>
      <c r="BL2" s="384" t="s">
        <v>41</v>
      </c>
      <c r="BM2" s="384" t="s">
        <v>41</v>
      </c>
      <c r="BN2" s="384" t="s">
        <v>41</v>
      </c>
      <c r="BO2" s="384" t="s">
        <v>41</v>
      </c>
      <c r="BP2" s="14"/>
      <c r="BQ2" s="14"/>
      <c r="BR2" s="14"/>
      <c r="BS2" s="14"/>
      <c r="BT2" s="14"/>
      <c r="BU2" s="14"/>
    </row>
    <row r="3" spans="1:73" s="1" customFormat="1" ht="15.75" thickBot="1" x14ac:dyDescent="0.3">
      <c r="A3" s="385"/>
      <c r="B3" s="385"/>
      <c r="C3" s="385"/>
      <c r="D3" s="13" t="s">
        <v>169</v>
      </c>
      <c r="E3" s="13" t="s">
        <v>170</v>
      </c>
      <c r="F3" s="13" t="s">
        <v>169</v>
      </c>
      <c r="G3" s="13" t="s">
        <v>170</v>
      </c>
      <c r="H3" s="387" t="s">
        <v>174</v>
      </c>
      <c r="I3" s="388"/>
      <c r="J3" s="13" t="s">
        <v>169</v>
      </c>
      <c r="K3" s="13" t="s">
        <v>170</v>
      </c>
      <c r="L3" s="385"/>
      <c r="M3" s="13" t="s">
        <v>169</v>
      </c>
      <c r="N3" s="13" t="s">
        <v>170</v>
      </c>
      <c r="O3" s="13" t="s">
        <v>169</v>
      </c>
      <c r="P3" s="13" t="s">
        <v>170</v>
      </c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385"/>
      <c r="BE3" s="385"/>
      <c r="BF3" s="385"/>
      <c r="BG3" s="385"/>
      <c r="BH3" s="385"/>
      <c r="BI3" s="385"/>
      <c r="BJ3" s="385"/>
      <c r="BK3" s="385"/>
      <c r="BL3" s="385"/>
      <c r="BM3" s="385"/>
      <c r="BN3" s="385"/>
      <c r="BO3" s="385"/>
      <c r="BP3" s="14"/>
      <c r="BQ3" s="14"/>
      <c r="BR3" s="14"/>
      <c r="BS3" s="14"/>
      <c r="BT3" s="14"/>
      <c r="BU3" s="14"/>
    </row>
    <row r="4" spans="1:73" x14ac:dyDescent="0.25">
      <c r="A4" s="26" t="s">
        <v>138</v>
      </c>
      <c r="B4" s="270" t="s">
        <v>362</v>
      </c>
      <c r="C4" s="271" t="s">
        <v>18</v>
      </c>
      <c r="D4" s="112"/>
      <c r="E4" s="59"/>
      <c r="F4" s="106"/>
      <c r="G4" s="59"/>
      <c r="H4" s="106"/>
      <c r="I4" s="118"/>
      <c r="J4" s="160"/>
      <c r="K4" s="59"/>
      <c r="L4" s="129">
        <v>0</v>
      </c>
      <c r="M4" s="160">
        <v>0</v>
      </c>
      <c r="N4" s="59">
        <v>0</v>
      </c>
      <c r="O4" s="160">
        <v>2</v>
      </c>
      <c r="P4" s="59">
        <v>0</v>
      </c>
      <c r="Q4" s="160" t="s">
        <v>34</v>
      </c>
      <c r="R4" s="109" t="s">
        <v>34</v>
      </c>
      <c r="S4" s="109" t="s">
        <v>34</v>
      </c>
      <c r="T4" s="109" t="s">
        <v>34</v>
      </c>
      <c r="U4" s="109" t="s">
        <v>34</v>
      </c>
      <c r="V4" s="109" t="s">
        <v>34</v>
      </c>
      <c r="W4" s="109" t="s">
        <v>34</v>
      </c>
      <c r="X4" s="109" t="s">
        <v>34</v>
      </c>
      <c r="Y4" s="109" t="s">
        <v>34</v>
      </c>
      <c r="Z4" s="273" t="s">
        <v>34</v>
      </c>
      <c r="AA4" s="109" t="s">
        <v>34</v>
      </c>
      <c r="AB4" s="109" t="s">
        <v>34</v>
      </c>
      <c r="AC4" s="109" t="s">
        <v>34</v>
      </c>
      <c r="AD4" s="109" t="s">
        <v>34</v>
      </c>
      <c r="AE4" s="109" t="s">
        <v>34</v>
      </c>
      <c r="AF4" s="109" t="s">
        <v>34</v>
      </c>
      <c r="AG4" s="109" t="s">
        <v>34</v>
      </c>
      <c r="AH4" s="109" t="s">
        <v>34</v>
      </c>
      <c r="AI4" s="109" t="s">
        <v>34</v>
      </c>
      <c r="AJ4" s="109" t="s">
        <v>34</v>
      </c>
      <c r="AK4" s="109" t="s">
        <v>34</v>
      </c>
      <c r="AL4" s="272">
        <v>0</v>
      </c>
      <c r="AM4" s="109" t="s">
        <v>34</v>
      </c>
      <c r="AN4" s="286">
        <v>0</v>
      </c>
      <c r="AO4" s="118">
        <f t="shared" ref="AO4:AO16" si="0">SUM(Q4:AN4)</f>
        <v>0</v>
      </c>
      <c r="AP4" s="287" t="s">
        <v>34</v>
      </c>
      <c r="AQ4" s="109" t="s">
        <v>34</v>
      </c>
      <c r="AR4" s="109" t="s">
        <v>34</v>
      </c>
      <c r="AS4" s="109" t="s">
        <v>34</v>
      </c>
      <c r="AT4" s="109" t="s">
        <v>34</v>
      </c>
      <c r="AU4" s="109" t="s">
        <v>34</v>
      </c>
      <c r="AV4" s="109" t="s">
        <v>34</v>
      </c>
      <c r="AW4" s="109" t="s">
        <v>34</v>
      </c>
      <c r="AX4" s="109" t="s">
        <v>34</v>
      </c>
      <c r="AY4" s="109" t="s">
        <v>34</v>
      </c>
      <c r="AZ4" s="109" t="s">
        <v>34</v>
      </c>
      <c r="BA4" s="109" t="s">
        <v>34</v>
      </c>
      <c r="BB4" s="109" t="s">
        <v>34</v>
      </c>
      <c r="BC4" s="109" t="s">
        <v>34</v>
      </c>
      <c r="BD4" s="109" t="s">
        <v>34</v>
      </c>
      <c r="BE4" s="109" t="s">
        <v>34</v>
      </c>
      <c r="BF4" s="109" t="s">
        <v>34</v>
      </c>
      <c r="BG4" s="109" t="s">
        <v>34</v>
      </c>
      <c r="BH4" s="109" t="s">
        <v>34</v>
      </c>
      <c r="BI4" s="109" t="s">
        <v>34</v>
      </c>
      <c r="BJ4" s="109" t="s">
        <v>34</v>
      </c>
      <c r="BK4" s="109" t="s">
        <v>34</v>
      </c>
      <c r="BL4" s="109" t="s">
        <v>34</v>
      </c>
      <c r="BM4" s="273" t="s">
        <v>34</v>
      </c>
      <c r="BN4" s="129">
        <f t="shared" ref="BN4:BN16" si="1">SUM(AP4:BM4)</f>
        <v>0</v>
      </c>
      <c r="BO4" s="118">
        <f t="shared" ref="BO4:BO15" si="2">SUM(AO4+BN4)</f>
        <v>0</v>
      </c>
      <c r="BP4" s="75"/>
      <c r="BQ4" s="75"/>
      <c r="BR4" s="75"/>
      <c r="BS4" s="75"/>
      <c r="BT4" s="75"/>
      <c r="BU4" s="75"/>
    </row>
    <row r="5" spans="1:73" x14ac:dyDescent="0.25">
      <c r="A5" s="27" t="s">
        <v>138</v>
      </c>
      <c r="B5" s="274" t="s">
        <v>333</v>
      </c>
      <c r="C5" s="275" t="s">
        <v>24</v>
      </c>
      <c r="D5" s="151">
        <v>-5</v>
      </c>
      <c r="E5" s="101"/>
      <c r="F5" s="115"/>
      <c r="G5" s="101"/>
      <c r="H5" s="115"/>
      <c r="I5" s="117"/>
      <c r="J5" s="151"/>
      <c r="K5" s="101"/>
      <c r="L5" s="72">
        <v>3</v>
      </c>
      <c r="M5" s="151">
        <v>2</v>
      </c>
      <c r="N5" s="101">
        <v>0</v>
      </c>
      <c r="O5" s="151">
        <v>15</v>
      </c>
      <c r="P5" s="101">
        <v>24</v>
      </c>
      <c r="Q5" s="151" t="s">
        <v>34</v>
      </c>
      <c r="R5" s="147" t="s">
        <v>34</v>
      </c>
      <c r="S5" s="147" t="s">
        <v>34</v>
      </c>
      <c r="T5" s="147" t="s">
        <v>34</v>
      </c>
      <c r="U5" s="147" t="s">
        <v>34</v>
      </c>
      <c r="V5" s="147" t="s">
        <v>34</v>
      </c>
      <c r="W5" s="198">
        <v>0</v>
      </c>
      <c r="X5" s="198">
        <v>0</v>
      </c>
      <c r="Y5" s="147" t="s">
        <v>34</v>
      </c>
      <c r="Z5" s="198">
        <v>0</v>
      </c>
      <c r="AA5" s="198">
        <v>0</v>
      </c>
      <c r="AB5" s="198">
        <v>0</v>
      </c>
      <c r="AC5" s="198">
        <v>0</v>
      </c>
      <c r="AD5" s="198">
        <v>0</v>
      </c>
      <c r="AE5" s="198">
        <v>0</v>
      </c>
      <c r="AF5" s="198">
        <v>0</v>
      </c>
      <c r="AG5" s="198">
        <v>0</v>
      </c>
      <c r="AH5" s="198">
        <v>0</v>
      </c>
      <c r="AI5" s="198">
        <v>0</v>
      </c>
      <c r="AJ5" s="198">
        <v>0</v>
      </c>
      <c r="AK5" s="198">
        <v>1</v>
      </c>
      <c r="AL5" s="147">
        <v>90</v>
      </c>
      <c r="AM5" s="198">
        <v>0</v>
      </c>
      <c r="AN5" s="188">
        <v>90</v>
      </c>
      <c r="AO5" s="117">
        <f t="shared" si="0"/>
        <v>181</v>
      </c>
      <c r="AP5" s="277">
        <v>0</v>
      </c>
      <c r="AQ5" s="198">
        <v>0</v>
      </c>
      <c r="AR5" s="198">
        <v>0</v>
      </c>
      <c r="AS5" s="198">
        <v>0</v>
      </c>
      <c r="AT5" s="198">
        <v>0</v>
      </c>
      <c r="AU5" s="198">
        <v>0</v>
      </c>
      <c r="AV5" s="198">
        <v>0</v>
      </c>
      <c r="AW5" s="198">
        <v>0</v>
      </c>
      <c r="AX5" s="198">
        <v>0</v>
      </c>
      <c r="AY5" s="198">
        <v>0</v>
      </c>
      <c r="AZ5" s="198">
        <v>0</v>
      </c>
      <c r="BA5" s="198">
        <v>0</v>
      </c>
      <c r="BB5" s="198">
        <v>0</v>
      </c>
      <c r="BC5" s="198">
        <v>0</v>
      </c>
      <c r="BD5" s="198">
        <v>0</v>
      </c>
      <c r="BE5" s="198">
        <v>0</v>
      </c>
      <c r="BF5" s="198">
        <v>0</v>
      </c>
      <c r="BG5" s="198">
        <v>0</v>
      </c>
      <c r="BH5" s="198">
        <v>0</v>
      </c>
      <c r="BI5" s="198">
        <v>0</v>
      </c>
      <c r="BJ5" s="198">
        <v>0</v>
      </c>
      <c r="BK5" s="198">
        <v>0</v>
      </c>
      <c r="BL5" s="198">
        <v>0</v>
      </c>
      <c r="BM5" s="279">
        <v>0</v>
      </c>
      <c r="BN5" s="72">
        <f t="shared" si="1"/>
        <v>0</v>
      </c>
      <c r="BO5" s="117">
        <f t="shared" si="2"/>
        <v>181</v>
      </c>
      <c r="BP5" s="75"/>
      <c r="BQ5" s="75"/>
      <c r="BR5" s="75"/>
      <c r="BS5" s="75"/>
      <c r="BT5" s="75"/>
      <c r="BU5" s="75"/>
    </row>
    <row r="6" spans="1:73" x14ac:dyDescent="0.25">
      <c r="A6" s="27" t="s">
        <v>138</v>
      </c>
      <c r="B6" s="274" t="s">
        <v>334</v>
      </c>
      <c r="C6" s="275" t="s">
        <v>8</v>
      </c>
      <c r="D6" s="151">
        <v>-4</v>
      </c>
      <c r="E6" s="101"/>
      <c r="F6" s="115"/>
      <c r="G6" s="101"/>
      <c r="H6" s="115"/>
      <c r="I6" s="117"/>
      <c r="J6" s="151"/>
      <c r="K6" s="101"/>
      <c r="L6" s="72">
        <v>2</v>
      </c>
      <c r="M6" s="151">
        <v>2</v>
      </c>
      <c r="N6" s="101">
        <v>0</v>
      </c>
      <c r="O6" s="151">
        <v>5</v>
      </c>
      <c r="P6" s="101">
        <v>0</v>
      </c>
      <c r="Q6" s="281">
        <v>0</v>
      </c>
      <c r="R6" s="198">
        <v>0</v>
      </c>
      <c r="S6" s="198">
        <v>0</v>
      </c>
      <c r="T6" s="198">
        <v>0</v>
      </c>
      <c r="U6" s="147">
        <v>90</v>
      </c>
      <c r="V6" s="147">
        <v>90</v>
      </c>
      <c r="W6" s="147" t="s">
        <v>34</v>
      </c>
      <c r="X6" s="147" t="s">
        <v>34</v>
      </c>
      <c r="Y6" s="198">
        <v>0</v>
      </c>
      <c r="Z6" s="147" t="s">
        <v>34</v>
      </c>
      <c r="AA6" s="147" t="s">
        <v>34</v>
      </c>
      <c r="AB6" s="147" t="s">
        <v>34</v>
      </c>
      <c r="AC6" s="147" t="s">
        <v>34</v>
      </c>
      <c r="AD6" s="147" t="s">
        <v>34</v>
      </c>
      <c r="AE6" s="147" t="s">
        <v>34</v>
      </c>
      <c r="AF6" s="147" t="s">
        <v>34</v>
      </c>
      <c r="AG6" s="147" t="s">
        <v>34</v>
      </c>
      <c r="AH6" s="147" t="s">
        <v>34</v>
      </c>
      <c r="AI6" s="147" t="s">
        <v>34</v>
      </c>
      <c r="AJ6" s="147" t="s">
        <v>34</v>
      </c>
      <c r="AK6" s="147" t="s">
        <v>34</v>
      </c>
      <c r="AL6" s="147" t="s">
        <v>34</v>
      </c>
      <c r="AM6" s="147" t="s">
        <v>34</v>
      </c>
      <c r="AN6" s="117" t="s">
        <v>34</v>
      </c>
      <c r="AO6" s="117">
        <f t="shared" si="0"/>
        <v>180</v>
      </c>
      <c r="AP6" s="51" t="s">
        <v>34</v>
      </c>
      <c r="AQ6" s="147" t="s">
        <v>34</v>
      </c>
      <c r="AR6" s="147" t="s">
        <v>34</v>
      </c>
      <c r="AS6" s="147" t="s">
        <v>34</v>
      </c>
      <c r="AT6" s="147" t="s">
        <v>34</v>
      </c>
      <c r="AU6" s="147" t="s">
        <v>34</v>
      </c>
      <c r="AV6" s="147" t="s">
        <v>34</v>
      </c>
      <c r="AW6" s="147" t="s">
        <v>34</v>
      </c>
      <c r="AX6" s="147" t="s">
        <v>34</v>
      </c>
      <c r="AY6" s="147" t="s">
        <v>34</v>
      </c>
      <c r="AZ6" s="147" t="s">
        <v>34</v>
      </c>
      <c r="BA6" s="147" t="s">
        <v>34</v>
      </c>
      <c r="BB6" s="147" t="s">
        <v>34</v>
      </c>
      <c r="BC6" s="147" t="s">
        <v>34</v>
      </c>
      <c r="BD6" s="147" t="s">
        <v>34</v>
      </c>
      <c r="BE6" s="147" t="s">
        <v>34</v>
      </c>
      <c r="BF6" s="147" t="s">
        <v>34</v>
      </c>
      <c r="BG6" s="147" t="s">
        <v>34</v>
      </c>
      <c r="BH6" s="147" t="s">
        <v>34</v>
      </c>
      <c r="BI6" s="147" t="s">
        <v>34</v>
      </c>
      <c r="BJ6" s="147" t="s">
        <v>34</v>
      </c>
      <c r="BK6" s="147" t="s">
        <v>34</v>
      </c>
      <c r="BL6" s="147" t="s">
        <v>34</v>
      </c>
      <c r="BM6" s="280" t="s">
        <v>34</v>
      </c>
      <c r="BN6" s="72">
        <f t="shared" si="1"/>
        <v>0</v>
      </c>
      <c r="BO6" s="117">
        <f t="shared" si="2"/>
        <v>180</v>
      </c>
      <c r="BP6" s="75"/>
      <c r="BQ6" s="75"/>
      <c r="BR6" s="75"/>
      <c r="BS6" s="75"/>
      <c r="BT6" s="75"/>
      <c r="BU6" s="75"/>
    </row>
    <row r="7" spans="1:73" x14ac:dyDescent="0.25">
      <c r="A7" s="27" t="s">
        <v>138</v>
      </c>
      <c r="B7" s="274" t="s">
        <v>335</v>
      </c>
      <c r="C7" s="275" t="s">
        <v>0</v>
      </c>
      <c r="D7" s="151">
        <v>-14</v>
      </c>
      <c r="E7" s="101">
        <v>-25</v>
      </c>
      <c r="F7" s="115"/>
      <c r="G7" s="101"/>
      <c r="H7" s="127">
        <v>1</v>
      </c>
      <c r="I7" s="101">
        <v>2</v>
      </c>
      <c r="J7" s="151">
        <v>1</v>
      </c>
      <c r="K7" s="101"/>
      <c r="L7" s="72">
        <v>44</v>
      </c>
      <c r="M7" s="151">
        <v>20</v>
      </c>
      <c r="N7" s="101">
        <v>24</v>
      </c>
      <c r="O7" s="151">
        <v>2</v>
      </c>
      <c r="P7" s="101">
        <v>0</v>
      </c>
      <c r="Q7" s="151">
        <v>90</v>
      </c>
      <c r="R7" s="147">
        <v>90</v>
      </c>
      <c r="S7" s="147">
        <v>90</v>
      </c>
      <c r="T7" s="147">
        <v>90</v>
      </c>
      <c r="U7" s="198">
        <v>0</v>
      </c>
      <c r="V7" s="198">
        <v>0</v>
      </c>
      <c r="W7" s="147">
        <v>90</v>
      </c>
      <c r="X7" s="147">
        <v>90</v>
      </c>
      <c r="Y7" s="147">
        <v>90</v>
      </c>
      <c r="Z7" s="147">
        <v>90</v>
      </c>
      <c r="AA7" s="147">
        <v>90</v>
      </c>
      <c r="AB7" s="147">
        <v>90</v>
      </c>
      <c r="AC7" s="147">
        <v>90</v>
      </c>
      <c r="AD7" s="147">
        <v>90</v>
      </c>
      <c r="AE7" s="147">
        <v>90</v>
      </c>
      <c r="AF7" s="147">
        <v>90</v>
      </c>
      <c r="AG7" s="147">
        <v>90</v>
      </c>
      <c r="AH7" s="147">
        <v>90</v>
      </c>
      <c r="AI7" s="147">
        <v>90</v>
      </c>
      <c r="AJ7" s="147">
        <v>90</v>
      </c>
      <c r="AK7" s="147">
        <v>89</v>
      </c>
      <c r="AL7" s="147" t="s">
        <v>34</v>
      </c>
      <c r="AM7" s="147">
        <v>90</v>
      </c>
      <c r="AN7" s="117" t="s">
        <v>34</v>
      </c>
      <c r="AO7" s="117">
        <f t="shared" si="0"/>
        <v>1799</v>
      </c>
      <c r="AP7" s="51">
        <v>90</v>
      </c>
      <c r="AQ7" s="147">
        <v>90</v>
      </c>
      <c r="AR7" s="147">
        <v>90</v>
      </c>
      <c r="AS7" s="147">
        <v>90</v>
      </c>
      <c r="AT7" s="147">
        <v>90</v>
      </c>
      <c r="AU7" s="147">
        <v>90</v>
      </c>
      <c r="AV7" s="147">
        <v>90</v>
      </c>
      <c r="AW7" s="147">
        <v>90</v>
      </c>
      <c r="AX7" s="147">
        <v>90</v>
      </c>
      <c r="AY7" s="147">
        <v>90</v>
      </c>
      <c r="AZ7" s="147">
        <v>90</v>
      </c>
      <c r="BA7" s="147">
        <v>90</v>
      </c>
      <c r="BB7" s="147">
        <v>90</v>
      </c>
      <c r="BC7" s="147">
        <v>90</v>
      </c>
      <c r="BD7" s="147">
        <v>90</v>
      </c>
      <c r="BE7" s="147">
        <v>90</v>
      </c>
      <c r="BF7" s="147">
        <v>90</v>
      </c>
      <c r="BG7" s="147">
        <v>90</v>
      </c>
      <c r="BH7" s="147">
        <v>90</v>
      </c>
      <c r="BI7" s="147">
        <v>90</v>
      </c>
      <c r="BJ7" s="147">
        <v>90</v>
      </c>
      <c r="BK7" s="147">
        <v>90</v>
      </c>
      <c r="BL7" s="147">
        <v>90</v>
      </c>
      <c r="BM7" s="280">
        <v>90</v>
      </c>
      <c r="BN7" s="72">
        <f t="shared" si="1"/>
        <v>2160</v>
      </c>
      <c r="BO7" s="117">
        <f t="shared" si="2"/>
        <v>3959</v>
      </c>
      <c r="BP7" s="75"/>
      <c r="BQ7" s="75"/>
      <c r="BR7" s="75"/>
      <c r="BS7" s="75"/>
      <c r="BT7" s="75"/>
      <c r="BU7" s="75"/>
    </row>
    <row r="8" spans="1:73" x14ac:dyDescent="0.25">
      <c r="A8" s="28" t="s">
        <v>141</v>
      </c>
      <c r="B8" s="274" t="s">
        <v>336</v>
      </c>
      <c r="C8" s="275" t="s">
        <v>3</v>
      </c>
      <c r="D8" s="151"/>
      <c r="E8" s="101"/>
      <c r="F8" s="115"/>
      <c r="G8" s="101"/>
      <c r="H8" s="127">
        <v>8</v>
      </c>
      <c r="I8" s="101">
        <v>3</v>
      </c>
      <c r="J8" s="151"/>
      <c r="K8" s="101"/>
      <c r="L8" s="72">
        <v>46</v>
      </c>
      <c r="M8" s="151">
        <v>23</v>
      </c>
      <c r="N8" s="101">
        <v>21</v>
      </c>
      <c r="O8" s="151">
        <v>0</v>
      </c>
      <c r="P8" s="101">
        <v>2</v>
      </c>
      <c r="Q8" s="151">
        <v>90</v>
      </c>
      <c r="R8" s="147">
        <v>90</v>
      </c>
      <c r="S8" s="147">
        <v>80</v>
      </c>
      <c r="T8" s="147">
        <v>90</v>
      </c>
      <c r="U8" s="147">
        <v>90</v>
      </c>
      <c r="V8" s="147">
        <v>90</v>
      </c>
      <c r="W8" s="147">
        <v>90</v>
      </c>
      <c r="X8" s="147">
        <v>90</v>
      </c>
      <c r="Y8" s="147">
        <v>90</v>
      </c>
      <c r="Z8" s="147">
        <v>90</v>
      </c>
      <c r="AA8" s="147">
        <v>90</v>
      </c>
      <c r="AB8" s="147">
        <v>90</v>
      </c>
      <c r="AC8" s="147">
        <v>90</v>
      </c>
      <c r="AD8" s="147">
        <v>90</v>
      </c>
      <c r="AE8" s="147">
        <v>90</v>
      </c>
      <c r="AF8" s="147">
        <v>90</v>
      </c>
      <c r="AG8" s="147">
        <v>58</v>
      </c>
      <c r="AH8" s="147">
        <v>90</v>
      </c>
      <c r="AI8" s="147" t="s">
        <v>34</v>
      </c>
      <c r="AJ8" s="147">
        <v>90</v>
      </c>
      <c r="AK8" s="147">
        <v>90</v>
      </c>
      <c r="AL8" s="147">
        <v>90</v>
      </c>
      <c r="AM8" s="147">
        <v>90</v>
      </c>
      <c r="AN8" s="117">
        <v>90</v>
      </c>
      <c r="AO8" s="117">
        <f t="shared" si="0"/>
        <v>2028</v>
      </c>
      <c r="AP8" s="51">
        <v>84</v>
      </c>
      <c r="AQ8" s="147">
        <v>63</v>
      </c>
      <c r="AR8" s="147">
        <v>90</v>
      </c>
      <c r="AS8" s="147">
        <v>90</v>
      </c>
      <c r="AT8" s="147">
        <v>75</v>
      </c>
      <c r="AU8" s="147">
        <v>45</v>
      </c>
      <c r="AV8" s="147">
        <v>89</v>
      </c>
      <c r="AW8" s="147">
        <v>90</v>
      </c>
      <c r="AX8" s="147">
        <v>90</v>
      </c>
      <c r="AY8" s="147" t="s">
        <v>34</v>
      </c>
      <c r="AZ8" s="147">
        <v>90</v>
      </c>
      <c r="BA8" s="147">
        <v>90</v>
      </c>
      <c r="BB8" s="147">
        <v>90</v>
      </c>
      <c r="BC8" s="147">
        <v>90</v>
      </c>
      <c r="BD8" s="147">
        <v>90</v>
      </c>
      <c r="BE8" s="198">
        <v>32</v>
      </c>
      <c r="BF8" s="198">
        <v>3</v>
      </c>
      <c r="BG8" s="147">
        <v>90</v>
      </c>
      <c r="BH8" s="147">
        <v>90</v>
      </c>
      <c r="BI8" s="147">
        <v>90</v>
      </c>
      <c r="BJ8" s="147">
        <v>90</v>
      </c>
      <c r="BK8" s="147">
        <v>90</v>
      </c>
      <c r="BL8" s="147">
        <v>90</v>
      </c>
      <c r="BM8" s="117">
        <v>90</v>
      </c>
      <c r="BN8" s="117">
        <f t="shared" si="1"/>
        <v>1831</v>
      </c>
      <c r="BO8" s="117">
        <f t="shared" si="2"/>
        <v>3859</v>
      </c>
      <c r="BP8" s="75"/>
      <c r="BQ8" s="75"/>
      <c r="BR8" s="75"/>
      <c r="BS8" s="75"/>
      <c r="BT8" s="75"/>
      <c r="BU8" s="75"/>
    </row>
    <row r="9" spans="1:73" x14ac:dyDescent="0.25">
      <c r="A9" s="28" t="s">
        <v>141</v>
      </c>
      <c r="B9" s="274" t="s">
        <v>335</v>
      </c>
      <c r="C9" s="275" t="s">
        <v>22</v>
      </c>
      <c r="D9" s="151"/>
      <c r="E9" s="101"/>
      <c r="F9" s="115"/>
      <c r="G9" s="101"/>
      <c r="H9" s="127"/>
      <c r="I9" s="101"/>
      <c r="J9" s="151"/>
      <c r="K9" s="101"/>
      <c r="L9" s="72">
        <v>1</v>
      </c>
      <c r="M9" s="151">
        <v>0</v>
      </c>
      <c r="N9" s="101">
        <v>1</v>
      </c>
      <c r="O9" s="151">
        <v>4</v>
      </c>
      <c r="P9" s="101">
        <v>4</v>
      </c>
      <c r="Q9" s="151" t="s">
        <v>34</v>
      </c>
      <c r="R9" s="147" t="s">
        <v>34</v>
      </c>
      <c r="S9" s="147" t="s">
        <v>34</v>
      </c>
      <c r="T9" s="147" t="s">
        <v>34</v>
      </c>
      <c r="U9" s="147" t="s">
        <v>34</v>
      </c>
      <c r="V9" s="147" t="s">
        <v>34</v>
      </c>
      <c r="W9" s="147" t="s">
        <v>34</v>
      </c>
      <c r="X9" s="147" t="s">
        <v>34</v>
      </c>
      <c r="Y9" s="147" t="s">
        <v>34</v>
      </c>
      <c r="Z9" s="147" t="s">
        <v>34</v>
      </c>
      <c r="AA9" s="147" t="s">
        <v>34</v>
      </c>
      <c r="AB9" s="147" t="s">
        <v>34</v>
      </c>
      <c r="AC9" s="147" t="s">
        <v>34</v>
      </c>
      <c r="AD9" s="147" t="s">
        <v>34</v>
      </c>
      <c r="AE9" s="147" t="s">
        <v>34</v>
      </c>
      <c r="AF9" s="147" t="s">
        <v>34</v>
      </c>
      <c r="AG9" s="147" t="s">
        <v>34</v>
      </c>
      <c r="AH9" s="198">
        <v>0</v>
      </c>
      <c r="AI9" s="198">
        <v>0</v>
      </c>
      <c r="AJ9" s="198">
        <v>0</v>
      </c>
      <c r="AK9" s="147" t="s">
        <v>34</v>
      </c>
      <c r="AL9" s="147" t="s">
        <v>34</v>
      </c>
      <c r="AM9" s="147" t="s">
        <v>34</v>
      </c>
      <c r="AN9" s="288">
        <v>0</v>
      </c>
      <c r="AO9" s="117">
        <f>SUM(Q9:AN9)</f>
        <v>0</v>
      </c>
      <c r="AP9" s="51" t="s">
        <v>34</v>
      </c>
      <c r="AQ9" s="147" t="s">
        <v>34</v>
      </c>
      <c r="AR9" s="147" t="s">
        <v>34</v>
      </c>
      <c r="AS9" s="147" t="s">
        <v>34</v>
      </c>
      <c r="AT9" s="147" t="s">
        <v>34</v>
      </c>
      <c r="AU9" s="147" t="s">
        <v>34</v>
      </c>
      <c r="AV9" s="147" t="s">
        <v>34</v>
      </c>
      <c r="AW9" s="147" t="s">
        <v>34</v>
      </c>
      <c r="AX9" s="198">
        <v>0</v>
      </c>
      <c r="AY9" s="147">
        <v>79</v>
      </c>
      <c r="AZ9" s="198">
        <v>0</v>
      </c>
      <c r="BA9" s="198">
        <v>0</v>
      </c>
      <c r="BB9" s="198">
        <v>0</v>
      </c>
      <c r="BC9" s="147" t="s">
        <v>34</v>
      </c>
      <c r="BD9" s="147" t="s">
        <v>34</v>
      </c>
      <c r="BE9" s="147" t="s">
        <v>34</v>
      </c>
      <c r="BF9" s="147" t="s">
        <v>34</v>
      </c>
      <c r="BG9" s="147" t="s">
        <v>34</v>
      </c>
      <c r="BH9" s="147" t="s">
        <v>34</v>
      </c>
      <c r="BI9" s="147" t="s">
        <v>34</v>
      </c>
      <c r="BJ9" s="147" t="s">
        <v>34</v>
      </c>
      <c r="BK9" s="147" t="s">
        <v>34</v>
      </c>
      <c r="BL9" s="147" t="s">
        <v>34</v>
      </c>
      <c r="BM9" s="117" t="s">
        <v>34</v>
      </c>
      <c r="BN9" s="117">
        <f>SUM(AP9:BM9)</f>
        <v>79</v>
      </c>
      <c r="BO9" s="117">
        <f>SUM(AO9+BN9)</f>
        <v>79</v>
      </c>
      <c r="BP9" s="75"/>
      <c r="BQ9" s="75"/>
      <c r="BR9" s="75"/>
      <c r="BS9" s="75"/>
      <c r="BT9" s="75"/>
      <c r="BU9" s="75"/>
    </row>
    <row r="10" spans="1:73" x14ac:dyDescent="0.25">
      <c r="A10" s="28" t="s">
        <v>141</v>
      </c>
      <c r="B10" s="274" t="s">
        <v>337</v>
      </c>
      <c r="C10" s="275" t="s">
        <v>2</v>
      </c>
      <c r="D10" s="151">
        <v>2</v>
      </c>
      <c r="E10" s="101"/>
      <c r="F10" s="115"/>
      <c r="G10" s="101"/>
      <c r="H10" s="127">
        <v>6</v>
      </c>
      <c r="I10" s="101">
        <v>6</v>
      </c>
      <c r="J10" s="151"/>
      <c r="K10" s="101"/>
      <c r="L10" s="72">
        <v>45</v>
      </c>
      <c r="M10" s="151">
        <v>23</v>
      </c>
      <c r="N10" s="101">
        <v>22</v>
      </c>
      <c r="O10" s="151">
        <v>0</v>
      </c>
      <c r="P10" s="101">
        <v>0</v>
      </c>
      <c r="Q10" s="151">
        <v>90</v>
      </c>
      <c r="R10" s="147">
        <v>90</v>
      </c>
      <c r="S10" s="147">
        <v>90</v>
      </c>
      <c r="T10" s="147">
        <v>90</v>
      </c>
      <c r="U10" s="147">
        <v>90</v>
      </c>
      <c r="V10" s="147">
        <v>90</v>
      </c>
      <c r="W10" s="147">
        <v>90</v>
      </c>
      <c r="X10" s="147">
        <v>90</v>
      </c>
      <c r="Y10" s="147">
        <v>90</v>
      </c>
      <c r="Z10" s="147">
        <v>90</v>
      </c>
      <c r="AA10" s="147">
        <v>90</v>
      </c>
      <c r="AB10" s="147">
        <v>90</v>
      </c>
      <c r="AC10" s="147" t="s">
        <v>34</v>
      </c>
      <c r="AD10" s="147">
        <v>90</v>
      </c>
      <c r="AE10" s="147">
        <v>90</v>
      </c>
      <c r="AF10" s="147">
        <v>90</v>
      </c>
      <c r="AG10" s="147">
        <v>90</v>
      </c>
      <c r="AH10" s="147">
        <v>90</v>
      </c>
      <c r="AI10" s="147">
        <v>90</v>
      </c>
      <c r="AJ10" s="147">
        <v>90</v>
      </c>
      <c r="AK10" s="147">
        <v>90</v>
      </c>
      <c r="AL10" s="147">
        <v>90</v>
      </c>
      <c r="AM10" s="147">
        <v>87</v>
      </c>
      <c r="AN10" s="117">
        <v>90</v>
      </c>
      <c r="AO10" s="117">
        <f t="shared" si="0"/>
        <v>2067</v>
      </c>
      <c r="AP10" s="51">
        <v>90</v>
      </c>
      <c r="AQ10" s="147">
        <v>90</v>
      </c>
      <c r="AR10" s="147">
        <v>90</v>
      </c>
      <c r="AS10" s="147">
        <v>90</v>
      </c>
      <c r="AT10" s="147">
        <v>87</v>
      </c>
      <c r="AU10" s="147">
        <v>90</v>
      </c>
      <c r="AV10" s="147">
        <v>90</v>
      </c>
      <c r="AW10" s="147">
        <v>90</v>
      </c>
      <c r="AX10" s="147" t="s">
        <v>34</v>
      </c>
      <c r="AY10" s="147">
        <v>90</v>
      </c>
      <c r="AZ10" s="147">
        <v>90</v>
      </c>
      <c r="BA10" s="147">
        <v>75</v>
      </c>
      <c r="BB10" s="147" t="s">
        <v>34</v>
      </c>
      <c r="BC10" s="147">
        <v>90</v>
      </c>
      <c r="BD10" s="147">
        <v>68</v>
      </c>
      <c r="BE10" s="147">
        <v>90</v>
      </c>
      <c r="BF10" s="147">
        <v>90</v>
      </c>
      <c r="BG10" s="147">
        <v>90</v>
      </c>
      <c r="BH10" s="147">
        <v>90</v>
      </c>
      <c r="BI10" s="147">
        <v>90</v>
      </c>
      <c r="BJ10" s="147">
        <v>90</v>
      </c>
      <c r="BK10" s="147">
        <v>90</v>
      </c>
      <c r="BL10" s="147">
        <v>90</v>
      </c>
      <c r="BM10" s="117">
        <v>90</v>
      </c>
      <c r="BN10" s="117">
        <f t="shared" si="1"/>
        <v>1940</v>
      </c>
      <c r="BO10" s="117">
        <f t="shared" si="2"/>
        <v>4007</v>
      </c>
      <c r="BP10" s="75"/>
      <c r="BQ10" s="75"/>
      <c r="BR10" s="75"/>
      <c r="BS10" s="75"/>
      <c r="BT10" s="75"/>
      <c r="BU10" s="75"/>
    </row>
    <row r="11" spans="1:73" x14ac:dyDescent="0.25">
      <c r="A11" s="28" t="s">
        <v>141</v>
      </c>
      <c r="B11" s="274" t="s">
        <v>338</v>
      </c>
      <c r="C11" s="275" t="s">
        <v>16</v>
      </c>
      <c r="D11" s="151"/>
      <c r="E11" s="101"/>
      <c r="F11" s="115"/>
      <c r="G11" s="101"/>
      <c r="H11" s="127">
        <v>2</v>
      </c>
      <c r="I11" s="101"/>
      <c r="J11" s="151"/>
      <c r="K11" s="101"/>
      <c r="L11" s="72">
        <v>12</v>
      </c>
      <c r="M11" s="151">
        <v>3</v>
      </c>
      <c r="N11" s="101">
        <v>1</v>
      </c>
      <c r="O11" s="151">
        <v>16</v>
      </c>
      <c r="P11" s="101">
        <v>14</v>
      </c>
      <c r="Q11" s="281">
        <v>0</v>
      </c>
      <c r="R11" s="147" t="s">
        <v>34</v>
      </c>
      <c r="S11" s="198">
        <v>10</v>
      </c>
      <c r="T11" s="147" t="s">
        <v>34</v>
      </c>
      <c r="U11" s="198">
        <v>0</v>
      </c>
      <c r="V11" s="198">
        <v>0</v>
      </c>
      <c r="W11" s="198">
        <v>12</v>
      </c>
      <c r="X11" s="198">
        <v>0</v>
      </c>
      <c r="Y11" s="147">
        <v>90</v>
      </c>
      <c r="Z11" s="198">
        <v>0</v>
      </c>
      <c r="AA11" s="198">
        <v>0</v>
      </c>
      <c r="AB11" s="198">
        <v>0</v>
      </c>
      <c r="AC11" s="147" t="s">
        <v>34</v>
      </c>
      <c r="AD11" s="198">
        <v>32</v>
      </c>
      <c r="AE11" s="147">
        <v>90</v>
      </c>
      <c r="AF11" s="198">
        <v>34</v>
      </c>
      <c r="AG11" s="147">
        <v>60</v>
      </c>
      <c r="AH11" s="198">
        <v>0</v>
      </c>
      <c r="AI11" s="147" t="s">
        <v>34</v>
      </c>
      <c r="AJ11" s="147" t="s">
        <v>34</v>
      </c>
      <c r="AK11" s="198">
        <v>0</v>
      </c>
      <c r="AL11" s="198">
        <v>45</v>
      </c>
      <c r="AM11" s="198">
        <v>3</v>
      </c>
      <c r="AN11" s="288">
        <v>0</v>
      </c>
      <c r="AO11" s="117">
        <f t="shared" si="0"/>
        <v>376</v>
      </c>
      <c r="AP11" s="195">
        <v>0</v>
      </c>
      <c r="AQ11" s="147" t="s">
        <v>34</v>
      </c>
      <c r="AR11" s="198">
        <v>0</v>
      </c>
      <c r="AS11" s="198">
        <v>0</v>
      </c>
      <c r="AT11" s="147" t="s">
        <v>34</v>
      </c>
      <c r="AU11" s="198">
        <v>0</v>
      </c>
      <c r="AV11" s="147" t="s">
        <v>34</v>
      </c>
      <c r="AW11" s="198">
        <v>0</v>
      </c>
      <c r="AX11" s="147" t="s">
        <v>34</v>
      </c>
      <c r="AY11" s="147" t="s">
        <v>34</v>
      </c>
      <c r="AZ11" s="147" t="s">
        <v>34</v>
      </c>
      <c r="BA11" s="147" t="s">
        <v>34</v>
      </c>
      <c r="BB11" s="147" t="s">
        <v>34</v>
      </c>
      <c r="BC11" s="147" t="s">
        <v>34</v>
      </c>
      <c r="BD11" s="198">
        <v>0</v>
      </c>
      <c r="BE11" s="198">
        <v>9</v>
      </c>
      <c r="BF11" s="198">
        <v>0</v>
      </c>
      <c r="BG11" s="198">
        <v>0</v>
      </c>
      <c r="BH11" s="198">
        <v>0</v>
      </c>
      <c r="BI11" s="198">
        <v>0</v>
      </c>
      <c r="BJ11" s="198">
        <v>8</v>
      </c>
      <c r="BK11" s="198">
        <v>0</v>
      </c>
      <c r="BL11" s="147">
        <v>45</v>
      </c>
      <c r="BM11" s="288">
        <v>0</v>
      </c>
      <c r="BN11" s="117">
        <f t="shared" si="1"/>
        <v>62</v>
      </c>
      <c r="BO11" s="117">
        <f t="shared" si="2"/>
        <v>438</v>
      </c>
      <c r="BP11" s="75"/>
      <c r="BQ11" s="75"/>
      <c r="BR11" s="75"/>
      <c r="BS11" s="75"/>
      <c r="BT11" s="75"/>
      <c r="BU11" s="75"/>
    </row>
    <row r="12" spans="1:73" x14ac:dyDescent="0.25">
      <c r="A12" s="28" t="s">
        <v>141</v>
      </c>
      <c r="B12" s="274" t="s">
        <v>339</v>
      </c>
      <c r="C12" s="275" t="s">
        <v>15</v>
      </c>
      <c r="D12" s="151"/>
      <c r="E12" s="101"/>
      <c r="F12" s="115"/>
      <c r="G12" s="101"/>
      <c r="H12" s="127">
        <v>1</v>
      </c>
      <c r="I12" s="101">
        <v>1</v>
      </c>
      <c r="J12" s="151"/>
      <c r="K12" s="101"/>
      <c r="L12" s="72">
        <v>9</v>
      </c>
      <c r="M12" s="151">
        <v>2</v>
      </c>
      <c r="N12" s="101">
        <v>0</v>
      </c>
      <c r="O12" s="151">
        <v>8</v>
      </c>
      <c r="P12" s="101">
        <v>16</v>
      </c>
      <c r="Q12" s="151" t="s">
        <v>34</v>
      </c>
      <c r="R12" s="147" t="s">
        <v>34</v>
      </c>
      <c r="S12" s="147" t="s">
        <v>34</v>
      </c>
      <c r="T12" s="147" t="s">
        <v>34</v>
      </c>
      <c r="U12" s="147" t="s">
        <v>34</v>
      </c>
      <c r="V12" s="147" t="s">
        <v>34</v>
      </c>
      <c r="W12" s="147" t="s">
        <v>34</v>
      </c>
      <c r="X12" s="147" t="s">
        <v>34</v>
      </c>
      <c r="Y12" s="198">
        <v>0</v>
      </c>
      <c r="Z12" s="147" t="s">
        <v>34</v>
      </c>
      <c r="AA12" s="147" t="s">
        <v>34</v>
      </c>
      <c r="AB12" s="147" t="s">
        <v>34</v>
      </c>
      <c r="AC12" s="198">
        <v>29</v>
      </c>
      <c r="AD12" s="147" t="s">
        <v>34</v>
      </c>
      <c r="AE12" s="198">
        <v>11</v>
      </c>
      <c r="AF12" s="147" t="s">
        <v>34</v>
      </c>
      <c r="AG12" s="198">
        <v>0</v>
      </c>
      <c r="AH12" s="198">
        <v>0</v>
      </c>
      <c r="AI12" s="147">
        <v>66</v>
      </c>
      <c r="AJ12" s="198">
        <v>13</v>
      </c>
      <c r="AK12" s="198">
        <v>10</v>
      </c>
      <c r="AL12" s="198">
        <v>0</v>
      </c>
      <c r="AM12" s="147" t="s">
        <v>34</v>
      </c>
      <c r="AN12" s="117">
        <v>57</v>
      </c>
      <c r="AO12" s="117">
        <f t="shared" si="0"/>
        <v>186</v>
      </c>
      <c r="AP12" s="195">
        <v>0</v>
      </c>
      <c r="AQ12" s="198">
        <v>0</v>
      </c>
      <c r="AR12" s="198">
        <v>0</v>
      </c>
      <c r="AS12" s="147" t="s">
        <v>34</v>
      </c>
      <c r="AT12" s="198">
        <v>0</v>
      </c>
      <c r="AU12" s="147" t="s">
        <v>34</v>
      </c>
      <c r="AV12" s="198">
        <v>0</v>
      </c>
      <c r="AW12" s="147" t="s">
        <v>34</v>
      </c>
      <c r="AX12" s="198">
        <v>0</v>
      </c>
      <c r="AY12" s="198">
        <v>0</v>
      </c>
      <c r="AZ12" s="147" t="s">
        <v>34</v>
      </c>
      <c r="BA12" s="147" t="s">
        <v>34</v>
      </c>
      <c r="BB12" s="198">
        <v>14</v>
      </c>
      <c r="BC12" s="198">
        <v>0</v>
      </c>
      <c r="BD12" s="198">
        <v>0</v>
      </c>
      <c r="BE12" s="147" t="s">
        <v>34</v>
      </c>
      <c r="BF12" s="147" t="s">
        <v>34</v>
      </c>
      <c r="BG12" s="147" t="s">
        <v>34</v>
      </c>
      <c r="BH12" s="198">
        <v>0</v>
      </c>
      <c r="BI12" s="198">
        <v>0</v>
      </c>
      <c r="BJ12" s="198">
        <v>0</v>
      </c>
      <c r="BK12" s="198">
        <v>0</v>
      </c>
      <c r="BL12" s="198">
        <v>16</v>
      </c>
      <c r="BM12" s="288">
        <v>10</v>
      </c>
      <c r="BN12" s="117">
        <f t="shared" si="1"/>
        <v>40</v>
      </c>
      <c r="BO12" s="117">
        <f t="shared" si="2"/>
        <v>226</v>
      </c>
      <c r="BP12" s="75"/>
      <c r="BQ12" s="75"/>
      <c r="BR12" s="75"/>
      <c r="BS12" s="75"/>
      <c r="BT12" s="75"/>
      <c r="BU12" s="75"/>
    </row>
    <row r="13" spans="1:73" x14ac:dyDescent="0.25">
      <c r="A13" s="28" t="s">
        <v>141</v>
      </c>
      <c r="B13" s="274" t="s">
        <v>340</v>
      </c>
      <c r="C13" s="275" t="s">
        <v>9</v>
      </c>
      <c r="D13" s="151"/>
      <c r="E13" s="101"/>
      <c r="F13" s="115"/>
      <c r="G13" s="101"/>
      <c r="H13" s="127">
        <v>2</v>
      </c>
      <c r="I13" s="101">
        <v>4</v>
      </c>
      <c r="J13" s="151"/>
      <c r="K13" s="101"/>
      <c r="L13" s="72">
        <v>19</v>
      </c>
      <c r="M13" s="151">
        <v>7</v>
      </c>
      <c r="N13" s="101">
        <v>4</v>
      </c>
      <c r="O13" s="151">
        <v>10</v>
      </c>
      <c r="P13" s="101">
        <v>8</v>
      </c>
      <c r="Q13" s="281">
        <v>2</v>
      </c>
      <c r="R13" s="198">
        <v>0</v>
      </c>
      <c r="S13" s="198">
        <v>0</v>
      </c>
      <c r="T13" s="198">
        <v>11</v>
      </c>
      <c r="U13" s="198">
        <v>9</v>
      </c>
      <c r="V13" s="147" t="s">
        <v>34</v>
      </c>
      <c r="W13" s="147" t="s">
        <v>34</v>
      </c>
      <c r="X13" s="147" t="s">
        <v>34</v>
      </c>
      <c r="Y13" s="198">
        <v>0</v>
      </c>
      <c r="Z13" s="147" t="s">
        <v>34</v>
      </c>
      <c r="AA13" s="147" t="s">
        <v>34</v>
      </c>
      <c r="AB13" s="147" t="s">
        <v>34</v>
      </c>
      <c r="AC13" s="198">
        <v>0</v>
      </c>
      <c r="AD13" s="147" t="s">
        <v>34</v>
      </c>
      <c r="AE13" s="198">
        <v>0</v>
      </c>
      <c r="AF13" s="198">
        <v>5</v>
      </c>
      <c r="AG13" s="198">
        <v>32</v>
      </c>
      <c r="AH13" s="147">
        <v>90</v>
      </c>
      <c r="AI13" s="147">
        <v>90</v>
      </c>
      <c r="AJ13" s="147">
        <v>59</v>
      </c>
      <c r="AK13" s="147">
        <v>90</v>
      </c>
      <c r="AL13" s="147">
        <v>58</v>
      </c>
      <c r="AM13" s="147">
        <v>90</v>
      </c>
      <c r="AN13" s="117">
        <v>90</v>
      </c>
      <c r="AO13" s="117">
        <f t="shared" si="0"/>
        <v>626</v>
      </c>
      <c r="AP13" s="195">
        <v>16</v>
      </c>
      <c r="AQ13" s="198">
        <v>0</v>
      </c>
      <c r="AR13" s="147">
        <v>61</v>
      </c>
      <c r="AS13" s="198">
        <v>1</v>
      </c>
      <c r="AT13" s="198">
        <v>0</v>
      </c>
      <c r="AU13" s="198">
        <v>0</v>
      </c>
      <c r="AV13" s="198">
        <v>1</v>
      </c>
      <c r="AW13" s="147" t="s">
        <v>34</v>
      </c>
      <c r="AX13" s="198">
        <v>0</v>
      </c>
      <c r="AY13" s="147">
        <v>90</v>
      </c>
      <c r="AZ13" s="198">
        <v>0</v>
      </c>
      <c r="BA13" s="147">
        <v>90</v>
      </c>
      <c r="BB13" s="147" t="s">
        <v>34</v>
      </c>
      <c r="BC13" s="147">
        <v>77</v>
      </c>
      <c r="BD13" s="147" t="s">
        <v>34</v>
      </c>
      <c r="BE13" s="147" t="s">
        <v>34</v>
      </c>
      <c r="BF13" s="147" t="s">
        <v>34</v>
      </c>
      <c r="BG13" s="147" t="s">
        <v>34</v>
      </c>
      <c r="BH13" s="147" t="s">
        <v>34</v>
      </c>
      <c r="BI13" s="147" t="s">
        <v>34</v>
      </c>
      <c r="BJ13" s="147" t="s">
        <v>34</v>
      </c>
      <c r="BK13" s="147" t="s">
        <v>34</v>
      </c>
      <c r="BL13" s="147" t="s">
        <v>34</v>
      </c>
      <c r="BM13" s="117" t="s">
        <v>34</v>
      </c>
      <c r="BN13" s="117">
        <f t="shared" si="1"/>
        <v>336</v>
      </c>
      <c r="BO13" s="117">
        <f t="shared" si="2"/>
        <v>962</v>
      </c>
      <c r="BP13" s="75"/>
      <c r="BQ13" s="75"/>
      <c r="BR13" s="75"/>
      <c r="BS13" s="75"/>
      <c r="BT13" s="75"/>
      <c r="BU13" s="75"/>
    </row>
    <row r="14" spans="1:73" x14ac:dyDescent="0.25">
      <c r="A14" s="28" t="s">
        <v>141</v>
      </c>
      <c r="B14" s="274" t="s">
        <v>341</v>
      </c>
      <c r="C14" s="275" t="s">
        <v>917</v>
      </c>
      <c r="D14" s="151">
        <v>1</v>
      </c>
      <c r="E14" s="101"/>
      <c r="F14" s="115"/>
      <c r="G14" s="101"/>
      <c r="H14" s="127">
        <v>6</v>
      </c>
      <c r="I14" s="101">
        <v>7</v>
      </c>
      <c r="J14" s="151">
        <v>2</v>
      </c>
      <c r="K14" s="101">
        <v>1</v>
      </c>
      <c r="L14" s="72">
        <v>37</v>
      </c>
      <c r="M14" s="151">
        <v>19</v>
      </c>
      <c r="N14" s="101">
        <v>13</v>
      </c>
      <c r="O14" s="151">
        <v>0</v>
      </c>
      <c r="P14" s="101">
        <v>8</v>
      </c>
      <c r="Q14" s="151">
        <v>88</v>
      </c>
      <c r="R14" s="147">
        <v>90</v>
      </c>
      <c r="S14" s="147">
        <v>90</v>
      </c>
      <c r="T14" s="147">
        <v>90</v>
      </c>
      <c r="U14" s="147">
        <v>90</v>
      </c>
      <c r="V14" s="147">
        <v>90</v>
      </c>
      <c r="W14" s="147">
        <v>90</v>
      </c>
      <c r="X14" s="147">
        <v>90</v>
      </c>
      <c r="Y14" s="147" t="s">
        <v>34</v>
      </c>
      <c r="Z14" s="147">
        <v>90</v>
      </c>
      <c r="AA14" s="147">
        <v>90</v>
      </c>
      <c r="AB14" s="147">
        <v>90</v>
      </c>
      <c r="AC14" s="147">
        <v>90</v>
      </c>
      <c r="AD14" s="147">
        <v>90</v>
      </c>
      <c r="AE14" s="147">
        <v>90</v>
      </c>
      <c r="AF14" s="147">
        <v>90</v>
      </c>
      <c r="AG14" s="147">
        <v>90</v>
      </c>
      <c r="AH14" s="147" t="s">
        <v>34</v>
      </c>
      <c r="AI14" s="147">
        <v>90</v>
      </c>
      <c r="AJ14" s="147">
        <v>90</v>
      </c>
      <c r="AK14" s="147" t="s">
        <v>34</v>
      </c>
      <c r="AL14" s="147" t="s">
        <v>34</v>
      </c>
      <c r="AM14" s="147" t="s">
        <v>34</v>
      </c>
      <c r="AN14" s="117">
        <v>90</v>
      </c>
      <c r="AO14" s="117">
        <f t="shared" si="0"/>
        <v>1708</v>
      </c>
      <c r="AP14" s="51">
        <v>90</v>
      </c>
      <c r="AQ14" s="147">
        <v>90</v>
      </c>
      <c r="AR14" s="147">
        <v>90</v>
      </c>
      <c r="AS14" s="147">
        <v>90</v>
      </c>
      <c r="AT14" s="147">
        <v>90</v>
      </c>
      <c r="AU14" s="147">
        <v>90</v>
      </c>
      <c r="AV14" s="147">
        <v>90</v>
      </c>
      <c r="AW14" s="147">
        <v>90</v>
      </c>
      <c r="AX14" s="147">
        <v>90</v>
      </c>
      <c r="AY14" s="147" t="s">
        <v>34</v>
      </c>
      <c r="AZ14" s="147">
        <v>90</v>
      </c>
      <c r="BA14" s="147" t="s">
        <v>34</v>
      </c>
      <c r="BB14" s="198">
        <v>1</v>
      </c>
      <c r="BC14" s="198">
        <v>0</v>
      </c>
      <c r="BD14" s="147">
        <v>90</v>
      </c>
      <c r="BE14" s="147">
        <v>90</v>
      </c>
      <c r="BF14" s="147">
        <v>90</v>
      </c>
      <c r="BG14" s="198">
        <v>22</v>
      </c>
      <c r="BH14" s="198">
        <v>0</v>
      </c>
      <c r="BI14" s="198">
        <v>45</v>
      </c>
      <c r="BJ14" s="198">
        <v>24</v>
      </c>
      <c r="BK14" s="198">
        <v>3</v>
      </c>
      <c r="BL14" s="147" t="s">
        <v>34</v>
      </c>
      <c r="BM14" s="288">
        <v>0</v>
      </c>
      <c r="BN14" s="117">
        <f t="shared" si="1"/>
        <v>1265</v>
      </c>
      <c r="BO14" s="117">
        <f t="shared" si="2"/>
        <v>2973</v>
      </c>
      <c r="BP14" s="75"/>
      <c r="BQ14" s="75"/>
      <c r="BR14" s="75"/>
      <c r="BS14" s="75"/>
      <c r="BT14" s="75"/>
      <c r="BU14" s="75"/>
    </row>
    <row r="15" spans="1:73" x14ac:dyDescent="0.25">
      <c r="A15" s="28" t="s">
        <v>141</v>
      </c>
      <c r="B15" s="274" t="s">
        <v>342</v>
      </c>
      <c r="C15" s="275" t="s">
        <v>1</v>
      </c>
      <c r="D15" s="151">
        <v>1</v>
      </c>
      <c r="E15" s="101">
        <v>1</v>
      </c>
      <c r="F15" s="115">
        <v>1</v>
      </c>
      <c r="G15" s="101"/>
      <c r="H15" s="127">
        <v>4</v>
      </c>
      <c r="I15" s="101">
        <v>4</v>
      </c>
      <c r="J15" s="151">
        <v>1</v>
      </c>
      <c r="K15" s="101"/>
      <c r="L15" s="72">
        <v>45</v>
      </c>
      <c r="M15" s="151">
        <v>22</v>
      </c>
      <c r="N15" s="101">
        <v>23</v>
      </c>
      <c r="O15" s="151">
        <v>0</v>
      </c>
      <c r="P15" s="101">
        <v>0</v>
      </c>
      <c r="Q15" s="151">
        <v>90</v>
      </c>
      <c r="R15" s="147">
        <v>90</v>
      </c>
      <c r="S15" s="147">
        <v>90</v>
      </c>
      <c r="T15" s="147">
        <v>90</v>
      </c>
      <c r="U15" s="147">
        <v>90</v>
      </c>
      <c r="V15" s="147">
        <v>90</v>
      </c>
      <c r="W15" s="147">
        <v>90</v>
      </c>
      <c r="X15" s="147">
        <v>90</v>
      </c>
      <c r="Y15" s="147">
        <v>90</v>
      </c>
      <c r="Z15" s="147">
        <v>90</v>
      </c>
      <c r="AA15" s="147">
        <v>90</v>
      </c>
      <c r="AB15" s="147">
        <v>90</v>
      </c>
      <c r="AC15" s="147">
        <v>90</v>
      </c>
      <c r="AD15" s="147">
        <v>90</v>
      </c>
      <c r="AE15" s="147">
        <v>80</v>
      </c>
      <c r="AF15" s="147">
        <v>90</v>
      </c>
      <c r="AG15" s="147">
        <v>90</v>
      </c>
      <c r="AH15" s="147">
        <v>90</v>
      </c>
      <c r="AI15" s="147">
        <v>90</v>
      </c>
      <c r="AJ15" s="147" t="s">
        <v>34</v>
      </c>
      <c r="AK15" s="147">
        <v>90</v>
      </c>
      <c r="AL15" s="147">
        <v>90</v>
      </c>
      <c r="AM15" s="147">
        <v>73</v>
      </c>
      <c r="AN15" s="117" t="s">
        <v>34</v>
      </c>
      <c r="AO15" s="117">
        <f t="shared" si="0"/>
        <v>1953</v>
      </c>
      <c r="AP15" s="51">
        <v>90</v>
      </c>
      <c r="AQ15" s="147">
        <v>90</v>
      </c>
      <c r="AR15" s="147">
        <v>83</v>
      </c>
      <c r="AS15" s="147">
        <v>90</v>
      </c>
      <c r="AT15" s="147">
        <v>90</v>
      </c>
      <c r="AU15" s="147">
        <v>90</v>
      </c>
      <c r="AV15" s="147">
        <v>90</v>
      </c>
      <c r="AW15" s="147">
        <v>90</v>
      </c>
      <c r="AX15" s="147">
        <v>90</v>
      </c>
      <c r="AY15" s="147">
        <v>90</v>
      </c>
      <c r="AZ15" s="147">
        <v>90</v>
      </c>
      <c r="BA15" s="147">
        <v>90</v>
      </c>
      <c r="BB15" s="147">
        <v>90</v>
      </c>
      <c r="BC15" s="147">
        <v>90</v>
      </c>
      <c r="BD15" s="147">
        <v>90</v>
      </c>
      <c r="BE15" s="147">
        <v>90</v>
      </c>
      <c r="BF15" s="147">
        <v>90</v>
      </c>
      <c r="BG15" s="147">
        <v>68</v>
      </c>
      <c r="BH15" s="147">
        <v>62</v>
      </c>
      <c r="BI15" s="147" t="s">
        <v>34</v>
      </c>
      <c r="BJ15" s="147">
        <v>90</v>
      </c>
      <c r="BK15" s="147">
        <v>90</v>
      </c>
      <c r="BL15" s="147">
        <v>90</v>
      </c>
      <c r="BM15" s="117">
        <v>90</v>
      </c>
      <c r="BN15" s="117">
        <f t="shared" si="1"/>
        <v>2013</v>
      </c>
      <c r="BO15" s="117">
        <f t="shared" si="2"/>
        <v>3966</v>
      </c>
      <c r="BP15" s="75"/>
      <c r="BQ15" s="75"/>
      <c r="BR15" s="75"/>
      <c r="BS15" s="75"/>
      <c r="BT15" s="75"/>
      <c r="BU15" s="75"/>
    </row>
    <row r="16" spans="1:73" x14ac:dyDescent="0.25">
      <c r="A16" s="29" t="s">
        <v>139</v>
      </c>
      <c r="B16" s="274" t="s">
        <v>343</v>
      </c>
      <c r="C16" s="275" t="s">
        <v>393</v>
      </c>
      <c r="D16" s="151"/>
      <c r="E16" s="151">
        <v>2</v>
      </c>
      <c r="F16" s="115"/>
      <c r="G16" s="101"/>
      <c r="H16" s="127"/>
      <c r="I16" s="101"/>
      <c r="J16" s="151"/>
      <c r="K16" s="101"/>
      <c r="L16" s="72">
        <v>20</v>
      </c>
      <c r="M16" s="151">
        <v>0</v>
      </c>
      <c r="N16" s="101">
        <v>5</v>
      </c>
      <c r="O16" s="151">
        <v>0</v>
      </c>
      <c r="P16" s="101">
        <v>16</v>
      </c>
      <c r="Q16" s="151" t="s">
        <v>34</v>
      </c>
      <c r="R16" s="147" t="s">
        <v>34</v>
      </c>
      <c r="S16" s="147" t="s">
        <v>34</v>
      </c>
      <c r="T16" s="147" t="s">
        <v>34</v>
      </c>
      <c r="U16" s="147" t="s">
        <v>34</v>
      </c>
      <c r="V16" s="147" t="s">
        <v>34</v>
      </c>
      <c r="W16" s="147" t="s">
        <v>34</v>
      </c>
      <c r="X16" s="147" t="s">
        <v>34</v>
      </c>
      <c r="Y16" s="147" t="s">
        <v>34</v>
      </c>
      <c r="Z16" s="147" t="s">
        <v>34</v>
      </c>
      <c r="AA16" s="147" t="s">
        <v>34</v>
      </c>
      <c r="AB16" s="147" t="s">
        <v>34</v>
      </c>
      <c r="AC16" s="147" t="s">
        <v>34</v>
      </c>
      <c r="AD16" s="147" t="s">
        <v>34</v>
      </c>
      <c r="AE16" s="147" t="s">
        <v>34</v>
      </c>
      <c r="AF16" s="147" t="s">
        <v>34</v>
      </c>
      <c r="AG16" s="147" t="s">
        <v>34</v>
      </c>
      <c r="AH16" s="147" t="s">
        <v>34</v>
      </c>
      <c r="AI16" s="147" t="s">
        <v>34</v>
      </c>
      <c r="AJ16" s="147" t="s">
        <v>34</v>
      </c>
      <c r="AK16" s="147" t="s">
        <v>34</v>
      </c>
      <c r="AL16" s="147" t="s">
        <v>34</v>
      </c>
      <c r="AM16" s="147" t="s">
        <v>34</v>
      </c>
      <c r="AN16" s="101" t="s">
        <v>34</v>
      </c>
      <c r="AO16" s="117">
        <f t="shared" si="0"/>
        <v>0</v>
      </c>
      <c r="AP16" s="195">
        <v>45</v>
      </c>
      <c r="AQ16" s="198">
        <v>27</v>
      </c>
      <c r="AR16" s="198">
        <v>18</v>
      </c>
      <c r="AS16" s="198">
        <v>15</v>
      </c>
      <c r="AT16" s="198">
        <v>15</v>
      </c>
      <c r="AU16" s="198">
        <v>20</v>
      </c>
      <c r="AV16" s="147" t="s">
        <v>34</v>
      </c>
      <c r="AW16" s="198">
        <v>20</v>
      </c>
      <c r="AX16" s="147">
        <v>60</v>
      </c>
      <c r="AY16" s="198">
        <v>23</v>
      </c>
      <c r="AZ16" s="198">
        <v>18</v>
      </c>
      <c r="BA16" s="147">
        <v>90</v>
      </c>
      <c r="BB16" s="147">
        <v>76</v>
      </c>
      <c r="BC16" s="147">
        <v>58</v>
      </c>
      <c r="BD16" s="198">
        <v>15</v>
      </c>
      <c r="BE16" s="198">
        <v>0</v>
      </c>
      <c r="BF16" s="198">
        <v>3</v>
      </c>
      <c r="BG16" s="198">
        <v>22</v>
      </c>
      <c r="BH16" s="198">
        <v>4</v>
      </c>
      <c r="BI16" s="147">
        <v>84</v>
      </c>
      <c r="BJ16" s="198">
        <v>28</v>
      </c>
      <c r="BK16" s="198">
        <v>9</v>
      </c>
      <c r="BL16" s="147" t="s">
        <v>34</v>
      </c>
      <c r="BM16" s="101" t="s">
        <v>34</v>
      </c>
      <c r="BN16" s="117">
        <f t="shared" si="1"/>
        <v>650</v>
      </c>
      <c r="BO16" s="117">
        <f>BN16</f>
        <v>650</v>
      </c>
      <c r="BP16" s="75"/>
      <c r="BQ16" s="75"/>
      <c r="BR16" s="75"/>
      <c r="BS16" s="75"/>
      <c r="BT16" s="75"/>
      <c r="BU16" s="75"/>
    </row>
    <row r="17" spans="1:73" x14ac:dyDescent="0.25">
      <c r="A17" s="29" t="s">
        <v>139</v>
      </c>
      <c r="B17" s="274" t="s">
        <v>344</v>
      </c>
      <c r="C17" s="275" t="s">
        <v>6</v>
      </c>
      <c r="D17" s="151">
        <v>4</v>
      </c>
      <c r="E17" s="101">
        <v>2</v>
      </c>
      <c r="F17" s="115">
        <v>1</v>
      </c>
      <c r="G17" s="101"/>
      <c r="H17" s="127">
        <v>5</v>
      </c>
      <c r="I17" s="101">
        <v>4</v>
      </c>
      <c r="J17" s="151">
        <v>1</v>
      </c>
      <c r="K17" s="101"/>
      <c r="L17" s="72">
        <v>42</v>
      </c>
      <c r="M17" s="151">
        <v>17</v>
      </c>
      <c r="N17" s="101">
        <v>19</v>
      </c>
      <c r="O17" s="151">
        <v>3</v>
      </c>
      <c r="P17" s="101">
        <v>4</v>
      </c>
      <c r="Q17" s="151">
        <v>88</v>
      </c>
      <c r="R17" s="147">
        <v>70</v>
      </c>
      <c r="S17" s="147">
        <v>66</v>
      </c>
      <c r="T17" s="147">
        <v>79</v>
      </c>
      <c r="U17" s="147">
        <v>81</v>
      </c>
      <c r="V17" s="147">
        <v>82</v>
      </c>
      <c r="W17" s="147">
        <v>78</v>
      </c>
      <c r="X17" s="147">
        <v>89</v>
      </c>
      <c r="Y17" s="147">
        <v>76</v>
      </c>
      <c r="Z17" s="147">
        <v>77</v>
      </c>
      <c r="AA17" s="147">
        <v>45</v>
      </c>
      <c r="AB17" s="198">
        <v>32</v>
      </c>
      <c r="AC17" s="147" t="s">
        <v>34</v>
      </c>
      <c r="AD17" s="147">
        <v>58</v>
      </c>
      <c r="AE17" s="198">
        <v>18</v>
      </c>
      <c r="AF17" s="198">
        <v>0</v>
      </c>
      <c r="AG17" s="147">
        <v>90</v>
      </c>
      <c r="AH17" s="147">
        <v>90</v>
      </c>
      <c r="AI17" s="147" t="s">
        <v>34</v>
      </c>
      <c r="AJ17" s="147">
        <v>77</v>
      </c>
      <c r="AK17" s="147">
        <v>90</v>
      </c>
      <c r="AL17" s="147">
        <v>35</v>
      </c>
      <c r="AM17" s="147" t="s">
        <v>34</v>
      </c>
      <c r="AN17" s="117" t="s">
        <v>34</v>
      </c>
      <c r="AO17" s="117">
        <f t="shared" ref="AO17:AO21" si="3">SUM(Q17:AN17)</f>
        <v>1321</v>
      </c>
      <c r="AP17" s="51">
        <v>78</v>
      </c>
      <c r="AQ17" s="147">
        <v>84</v>
      </c>
      <c r="AR17" s="147">
        <v>61</v>
      </c>
      <c r="AS17" s="147">
        <v>83</v>
      </c>
      <c r="AT17" s="147">
        <v>90</v>
      </c>
      <c r="AU17" s="147">
        <v>60</v>
      </c>
      <c r="AV17" s="147">
        <v>89</v>
      </c>
      <c r="AW17" s="147">
        <v>82</v>
      </c>
      <c r="AX17" s="147">
        <v>60</v>
      </c>
      <c r="AY17" s="198">
        <v>45</v>
      </c>
      <c r="AZ17" s="147">
        <v>39</v>
      </c>
      <c r="BA17" s="198">
        <v>22</v>
      </c>
      <c r="BB17" s="198">
        <v>39</v>
      </c>
      <c r="BC17" s="198">
        <v>32</v>
      </c>
      <c r="BD17" s="147">
        <v>85</v>
      </c>
      <c r="BE17" s="147">
        <v>90</v>
      </c>
      <c r="BF17" s="147">
        <v>87</v>
      </c>
      <c r="BG17" s="147">
        <v>68</v>
      </c>
      <c r="BH17" s="147">
        <v>90</v>
      </c>
      <c r="BI17" s="147" t="s">
        <v>34</v>
      </c>
      <c r="BJ17" s="147">
        <v>82</v>
      </c>
      <c r="BK17" s="147">
        <v>87</v>
      </c>
      <c r="BL17" s="147">
        <v>90</v>
      </c>
      <c r="BM17" s="117">
        <v>90</v>
      </c>
      <c r="BN17" s="117">
        <f t="shared" ref="BN17:BN22" si="4">SUM(AP17:BM17)</f>
        <v>1633</v>
      </c>
      <c r="BO17" s="117">
        <f t="shared" ref="BO17:BO21" si="5">SUM(AO17+BN17)</f>
        <v>2954</v>
      </c>
      <c r="BP17" s="75"/>
      <c r="BQ17" s="75"/>
      <c r="BR17" s="75"/>
      <c r="BS17" s="75"/>
      <c r="BT17" s="75"/>
      <c r="BU17" s="75"/>
    </row>
    <row r="18" spans="1:73" x14ac:dyDescent="0.25">
      <c r="A18" s="29" t="s">
        <v>139</v>
      </c>
      <c r="B18" s="274" t="s">
        <v>345</v>
      </c>
      <c r="C18" s="275" t="s">
        <v>4</v>
      </c>
      <c r="D18" s="151">
        <v>2</v>
      </c>
      <c r="E18" s="101">
        <v>2</v>
      </c>
      <c r="F18" s="115"/>
      <c r="G18" s="101"/>
      <c r="H18" s="127">
        <v>3</v>
      </c>
      <c r="I18" s="101">
        <v>3</v>
      </c>
      <c r="J18" s="151">
        <v>1</v>
      </c>
      <c r="K18" s="101"/>
      <c r="L18" s="72">
        <v>39</v>
      </c>
      <c r="M18" s="151">
        <v>20</v>
      </c>
      <c r="N18" s="101">
        <v>17</v>
      </c>
      <c r="O18" s="151">
        <v>1</v>
      </c>
      <c r="P18" s="101">
        <v>1</v>
      </c>
      <c r="Q18" s="151">
        <v>90</v>
      </c>
      <c r="R18" s="147">
        <v>90</v>
      </c>
      <c r="S18" s="147">
        <v>90</v>
      </c>
      <c r="T18" s="147">
        <v>90</v>
      </c>
      <c r="U18" s="147">
        <v>90</v>
      </c>
      <c r="V18" s="147">
        <v>90</v>
      </c>
      <c r="W18" s="147">
        <v>90</v>
      </c>
      <c r="X18" s="147">
        <v>90</v>
      </c>
      <c r="Y18" s="147">
        <v>90</v>
      </c>
      <c r="Z18" s="147">
        <v>90</v>
      </c>
      <c r="AA18" s="147">
        <v>90</v>
      </c>
      <c r="AB18" s="147">
        <v>90</v>
      </c>
      <c r="AC18" s="147" t="s">
        <v>34</v>
      </c>
      <c r="AD18" s="147">
        <v>90</v>
      </c>
      <c r="AE18" s="198">
        <v>23</v>
      </c>
      <c r="AF18" s="147">
        <v>90</v>
      </c>
      <c r="AG18" s="147" t="s">
        <v>34</v>
      </c>
      <c r="AH18" s="147">
        <v>90</v>
      </c>
      <c r="AI18" s="147" t="s">
        <v>34</v>
      </c>
      <c r="AJ18" s="147">
        <v>90</v>
      </c>
      <c r="AK18" s="147">
        <v>90</v>
      </c>
      <c r="AL18" s="147">
        <v>45</v>
      </c>
      <c r="AM18" s="147">
        <v>75</v>
      </c>
      <c r="AN18" s="117">
        <v>90</v>
      </c>
      <c r="AO18" s="117">
        <f t="shared" si="3"/>
        <v>1763</v>
      </c>
      <c r="AP18" s="51">
        <v>90</v>
      </c>
      <c r="AQ18" s="147">
        <v>63</v>
      </c>
      <c r="AR18" s="147">
        <v>72</v>
      </c>
      <c r="AS18" s="147">
        <v>90</v>
      </c>
      <c r="AT18" s="147">
        <v>83</v>
      </c>
      <c r="AU18" s="147">
        <v>70</v>
      </c>
      <c r="AV18" s="147">
        <v>89</v>
      </c>
      <c r="AW18" s="147">
        <v>75</v>
      </c>
      <c r="AX18" s="147">
        <v>90</v>
      </c>
      <c r="AY18" s="147">
        <v>45</v>
      </c>
      <c r="AZ18" s="147" t="s">
        <v>34</v>
      </c>
      <c r="BA18" s="147" t="s">
        <v>34</v>
      </c>
      <c r="BB18" s="147" t="s">
        <v>34</v>
      </c>
      <c r="BC18" s="147">
        <v>90</v>
      </c>
      <c r="BD18" s="147">
        <v>90</v>
      </c>
      <c r="BE18" s="147">
        <v>90</v>
      </c>
      <c r="BF18" s="147">
        <v>90</v>
      </c>
      <c r="BG18" s="147">
        <v>71</v>
      </c>
      <c r="BH18" s="147" t="s">
        <v>34</v>
      </c>
      <c r="BI18" s="147" t="s">
        <v>34</v>
      </c>
      <c r="BJ18" s="147" t="s">
        <v>34</v>
      </c>
      <c r="BK18" s="198">
        <v>17</v>
      </c>
      <c r="BL18" s="147">
        <v>90</v>
      </c>
      <c r="BM18" s="117">
        <v>90</v>
      </c>
      <c r="BN18" s="117">
        <f t="shared" si="4"/>
        <v>1395</v>
      </c>
      <c r="BO18" s="117">
        <f t="shared" si="5"/>
        <v>3158</v>
      </c>
      <c r="BP18" s="75"/>
      <c r="BQ18" s="75"/>
      <c r="BR18" s="75"/>
      <c r="BS18" s="75"/>
      <c r="BT18" s="75"/>
      <c r="BU18" s="75"/>
    </row>
    <row r="19" spans="1:73" x14ac:dyDescent="0.25">
      <c r="A19" s="29" t="s">
        <v>139</v>
      </c>
      <c r="B19" s="274" t="s">
        <v>337</v>
      </c>
      <c r="C19" s="275" t="s">
        <v>11</v>
      </c>
      <c r="D19" s="151"/>
      <c r="E19" s="101"/>
      <c r="F19" s="115"/>
      <c r="G19" s="101"/>
      <c r="H19" s="127">
        <v>2</v>
      </c>
      <c r="I19" s="101"/>
      <c r="J19" s="151"/>
      <c r="K19" s="101"/>
      <c r="L19" s="72">
        <v>13</v>
      </c>
      <c r="M19" s="151">
        <v>4</v>
      </c>
      <c r="N19" s="101">
        <v>1</v>
      </c>
      <c r="O19" s="151">
        <v>7</v>
      </c>
      <c r="P19" s="101">
        <v>6</v>
      </c>
      <c r="Q19" s="151">
        <v>69</v>
      </c>
      <c r="R19" s="198">
        <v>27</v>
      </c>
      <c r="S19" s="198">
        <v>24</v>
      </c>
      <c r="T19" s="198">
        <v>17</v>
      </c>
      <c r="U19" s="147" t="s">
        <v>34</v>
      </c>
      <c r="V19" s="147">
        <v>65</v>
      </c>
      <c r="W19" s="198">
        <v>0</v>
      </c>
      <c r="X19" s="147" t="s">
        <v>34</v>
      </c>
      <c r="Y19" s="147" t="s">
        <v>34</v>
      </c>
      <c r="Z19" s="198">
        <v>1</v>
      </c>
      <c r="AA19" s="198">
        <v>0</v>
      </c>
      <c r="AB19" s="147" t="s">
        <v>34</v>
      </c>
      <c r="AC19" s="147">
        <v>61</v>
      </c>
      <c r="AD19" s="147" t="s">
        <v>34</v>
      </c>
      <c r="AE19" s="147" t="s">
        <v>34</v>
      </c>
      <c r="AF19" s="147" t="s">
        <v>34</v>
      </c>
      <c r="AG19" s="147" t="s">
        <v>34</v>
      </c>
      <c r="AH19" s="147" t="s">
        <v>34</v>
      </c>
      <c r="AI19" s="147" t="s">
        <v>34</v>
      </c>
      <c r="AJ19" s="147" t="s">
        <v>34</v>
      </c>
      <c r="AK19" s="147" t="s">
        <v>34</v>
      </c>
      <c r="AL19" s="147" t="s">
        <v>34</v>
      </c>
      <c r="AM19" s="147">
        <v>60</v>
      </c>
      <c r="AN19" s="288">
        <v>33</v>
      </c>
      <c r="AO19" s="117">
        <f t="shared" si="3"/>
        <v>357</v>
      </c>
      <c r="AP19" s="51" t="s">
        <v>34</v>
      </c>
      <c r="AQ19" s="147" t="s">
        <v>34</v>
      </c>
      <c r="AR19" s="147" t="s">
        <v>34</v>
      </c>
      <c r="AS19" s="147" t="s">
        <v>34</v>
      </c>
      <c r="AT19" s="147" t="s">
        <v>34</v>
      </c>
      <c r="AU19" s="147" t="s">
        <v>34</v>
      </c>
      <c r="AV19" s="147" t="s">
        <v>34</v>
      </c>
      <c r="AW19" s="192" t="s">
        <v>34</v>
      </c>
      <c r="AX19" s="147" t="s">
        <v>34</v>
      </c>
      <c r="AY19" s="147" t="s">
        <v>34</v>
      </c>
      <c r="AZ19" s="147" t="s">
        <v>34</v>
      </c>
      <c r="BA19" s="198">
        <v>24</v>
      </c>
      <c r="BB19" s="147">
        <v>76</v>
      </c>
      <c r="BC19" s="198">
        <v>13</v>
      </c>
      <c r="BD19" s="198">
        <v>22</v>
      </c>
      <c r="BE19" s="198">
        <v>0</v>
      </c>
      <c r="BF19" s="198">
        <v>0</v>
      </c>
      <c r="BG19" s="198">
        <v>0</v>
      </c>
      <c r="BH19" s="147" t="s">
        <v>34</v>
      </c>
      <c r="BI19" s="147" t="s">
        <v>34</v>
      </c>
      <c r="BJ19" s="147" t="s">
        <v>34</v>
      </c>
      <c r="BK19" s="147" t="s">
        <v>34</v>
      </c>
      <c r="BL19" s="147" t="s">
        <v>34</v>
      </c>
      <c r="BM19" s="117" t="s">
        <v>34</v>
      </c>
      <c r="BN19" s="117">
        <f t="shared" si="4"/>
        <v>135</v>
      </c>
      <c r="BO19" s="117">
        <f t="shared" si="5"/>
        <v>492</v>
      </c>
      <c r="BP19" s="75"/>
      <c r="BQ19" s="75"/>
      <c r="BR19" s="75"/>
      <c r="BS19" s="75"/>
      <c r="BT19" s="75"/>
      <c r="BU19" s="75"/>
    </row>
    <row r="20" spans="1:73" x14ac:dyDescent="0.25">
      <c r="A20" s="29" t="s">
        <v>139</v>
      </c>
      <c r="B20" s="274" t="s">
        <v>346</v>
      </c>
      <c r="C20" s="275" t="s">
        <v>49</v>
      </c>
      <c r="D20" s="151"/>
      <c r="E20" s="101"/>
      <c r="F20" s="115"/>
      <c r="G20" s="101"/>
      <c r="H20" s="127"/>
      <c r="I20" s="101"/>
      <c r="J20" s="151"/>
      <c r="K20" s="101"/>
      <c r="L20" s="72">
        <v>1</v>
      </c>
      <c r="M20" s="151">
        <v>0</v>
      </c>
      <c r="N20" s="101">
        <v>0</v>
      </c>
      <c r="O20" s="151">
        <v>1</v>
      </c>
      <c r="P20" s="101">
        <v>0</v>
      </c>
      <c r="Q20" s="151" t="s">
        <v>34</v>
      </c>
      <c r="R20" s="147" t="s">
        <v>34</v>
      </c>
      <c r="S20" s="147" t="s">
        <v>34</v>
      </c>
      <c r="T20" s="147" t="s">
        <v>34</v>
      </c>
      <c r="U20" s="147" t="s">
        <v>34</v>
      </c>
      <c r="V20" s="147" t="s">
        <v>34</v>
      </c>
      <c r="W20" s="147" t="s">
        <v>34</v>
      </c>
      <c r="X20" s="198">
        <v>1</v>
      </c>
      <c r="Y20" s="147" t="s">
        <v>34</v>
      </c>
      <c r="Z20" s="147" t="s">
        <v>34</v>
      </c>
      <c r="AA20" s="147" t="s">
        <v>34</v>
      </c>
      <c r="AB20" s="147" t="s">
        <v>34</v>
      </c>
      <c r="AC20" s="147" t="s">
        <v>34</v>
      </c>
      <c r="AD20" s="147" t="s">
        <v>34</v>
      </c>
      <c r="AE20" s="147" t="s">
        <v>34</v>
      </c>
      <c r="AF20" s="147" t="s">
        <v>34</v>
      </c>
      <c r="AG20" s="147" t="s">
        <v>34</v>
      </c>
      <c r="AH20" s="147" t="s">
        <v>34</v>
      </c>
      <c r="AI20" s="147" t="s">
        <v>34</v>
      </c>
      <c r="AJ20" s="147" t="s">
        <v>34</v>
      </c>
      <c r="AK20" s="147" t="s">
        <v>34</v>
      </c>
      <c r="AL20" s="147" t="s">
        <v>34</v>
      </c>
      <c r="AM20" s="147" t="s">
        <v>34</v>
      </c>
      <c r="AN20" s="117" t="s">
        <v>34</v>
      </c>
      <c r="AO20" s="117">
        <f t="shared" si="3"/>
        <v>1</v>
      </c>
      <c r="AP20" s="51" t="s">
        <v>34</v>
      </c>
      <c r="AQ20" s="147" t="s">
        <v>34</v>
      </c>
      <c r="AR20" s="147" t="s">
        <v>34</v>
      </c>
      <c r="AS20" s="147" t="s">
        <v>34</v>
      </c>
      <c r="AT20" s="147" t="s">
        <v>34</v>
      </c>
      <c r="AU20" s="147" t="s">
        <v>34</v>
      </c>
      <c r="AV20" s="147" t="s">
        <v>34</v>
      </c>
      <c r="AW20" s="147" t="s">
        <v>34</v>
      </c>
      <c r="AX20" s="147" t="s">
        <v>34</v>
      </c>
      <c r="AY20" s="147" t="s">
        <v>34</v>
      </c>
      <c r="AZ20" s="147" t="s">
        <v>34</v>
      </c>
      <c r="BA20" s="147" t="s">
        <v>34</v>
      </c>
      <c r="BB20" s="147" t="s">
        <v>34</v>
      </c>
      <c r="BC20" s="147" t="s">
        <v>34</v>
      </c>
      <c r="BD20" s="147" t="s">
        <v>34</v>
      </c>
      <c r="BE20" s="147" t="s">
        <v>34</v>
      </c>
      <c r="BF20" s="147" t="s">
        <v>34</v>
      </c>
      <c r="BG20" s="147" t="s">
        <v>34</v>
      </c>
      <c r="BH20" s="147" t="s">
        <v>34</v>
      </c>
      <c r="BI20" s="147" t="s">
        <v>34</v>
      </c>
      <c r="BJ20" s="147" t="s">
        <v>34</v>
      </c>
      <c r="BK20" s="147" t="s">
        <v>34</v>
      </c>
      <c r="BL20" s="147" t="s">
        <v>34</v>
      </c>
      <c r="BM20" s="117" t="s">
        <v>34</v>
      </c>
      <c r="BN20" s="117">
        <f t="shared" si="4"/>
        <v>0</v>
      </c>
      <c r="BO20" s="117">
        <f t="shared" si="5"/>
        <v>1</v>
      </c>
      <c r="BP20" s="75"/>
      <c r="BQ20" s="75"/>
      <c r="BR20" s="75"/>
      <c r="BS20" s="75"/>
      <c r="BT20" s="75"/>
      <c r="BU20" s="75"/>
    </row>
    <row r="21" spans="1:73" x14ac:dyDescent="0.25">
      <c r="A21" s="29" t="s">
        <v>139</v>
      </c>
      <c r="B21" s="274" t="s">
        <v>346</v>
      </c>
      <c r="C21" s="275" t="s">
        <v>399</v>
      </c>
      <c r="D21" s="151"/>
      <c r="E21" s="101">
        <v>3</v>
      </c>
      <c r="F21" s="115"/>
      <c r="G21" s="101"/>
      <c r="H21" s="127">
        <v>1</v>
      </c>
      <c r="I21" s="101"/>
      <c r="J21" s="151"/>
      <c r="K21" s="101"/>
      <c r="L21" s="72">
        <v>18</v>
      </c>
      <c r="M21" s="151">
        <v>2</v>
      </c>
      <c r="N21" s="101">
        <v>6</v>
      </c>
      <c r="O21" s="151">
        <v>7</v>
      </c>
      <c r="P21" s="101">
        <v>12</v>
      </c>
      <c r="Q21" s="151" t="s">
        <v>34</v>
      </c>
      <c r="R21" s="198">
        <v>0</v>
      </c>
      <c r="S21" s="198">
        <v>24</v>
      </c>
      <c r="T21" s="198">
        <v>0</v>
      </c>
      <c r="U21" s="147">
        <v>72</v>
      </c>
      <c r="V21" s="198">
        <v>25</v>
      </c>
      <c r="W21" s="147" t="s">
        <v>34</v>
      </c>
      <c r="X21" s="198">
        <v>16</v>
      </c>
      <c r="Y21" s="147" t="s">
        <v>34</v>
      </c>
      <c r="Z21" s="147" t="s">
        <v>34</v>
      </c>
      <c r="AA21" s="147" t="s">
        <v>34</v>
      </c>
      <c r="AB21" s="147" t="s">
        <v>34</v>
      </c>
      <c r="AC21" s="147" t="s">
        <v>34</v>
      </c>
      <c r="AD21" s="198">
        <v>0</v>
      </c>
      <c r="AE21" s="147" t="s">
        <v>34</v>
      </c>
      <c r="AF21" s="147" t="s">
        <v>34</v>
      </c>
      <c r="AG21" s="198">
        <v>30</v>
      </c>
      <c r="AH21" s="147">
        <v>62</v>
      </c>
      <c r="AI21" s="147" t="s">
        <v>34</v>
      </c>
      <c r="AJ21" s="147" t="s">
        <v>34</v>
      </c>
      <c r="AK21" s="147" t="s">
        <v>34</v>
      </c>
      <c r="AL21" s="147" t="s">
        <v>34</v>
      </c>
      <c r="AM21" s="147" t="s">
        <v>34</v>
      </c>
      <c r="AN21" s="117" t="s">
        <v>34</v>
      </c>
      <c r="AO21" s="117">
        <f t="shared" si="3"/>
        <v>229</v>
      </c>
      <c r="AP21" s="51" t="s">
        <v>34</v>
      </c>
      <c r="AQ21" s="147" t="s">
        <v>34</v>
      </c>
      <c r="AR21" s="147" t="s">
        <v>34</v>
      </c>
      <c r="AS21" s="198">
        <v>0</v>
      </c>
      <c r="AT21" s="198">
        <v>3</v>
      </c>
      <c r="AU21" s="198">
        <v>0</v>
      </c>
      <c r="AV21" s="147" t="s">
        <v>34</v>
      </c>
      <c r="AW21" s="198">
        <v>0</v>
      </c>
      <c r="AX21" s="147" t="s">
        <v>34</v>
      </c>
      <c r="AY21" s="198">
        <v>11</v>
      </c>
      <c r="AZ21" s="198">
        <v>0</v>
      </c>
      <c r="BA21" s="147">
        <v>68</v>
      </c>
      <c r="BB21" s="147">
        <v>61</v>
      </c>
      <c r="BC21" s="147">
        <v>58</v>
      </c>
      <c r="BD21" s="198">
        <v>22</v>
      </c>
      <c r="BE21" s="198">
        <v>0</v>
      </c>
      <c r="BF21" s="198">
        <v>0</v>
      </c>
      <c r="BG21" s="198">
        <v>22</v>
      </c>
      <c r="BH21" s="198">
        <v>18</v>
      </c>
      <c r="BI21" s="198">
        <v>18</v>
      </c>
      <c r="BJ21" s="147">
        <v>66</v>
      </c>
      <c r="BK21" s="147">
        <v>73</v>
      </c>
      <c r="BL21" s="147">
        <v>45</v>
      </c>
      <c r="BM21" s="117" t="s">
        <v>34</v>
      </c>
      <c r="BN21" s="117">
        <f t="shared" si="4"/>
        <v>465</v>
      </c>
      <c r="BO21" s="117">
        <f t="shared" si="5"/>
        <v>694</v>
      </c>
      <c r="BP21" s="75"/>
      <c r="BQ21" s="75"/>
      <c r="BR21" s="75"/>
      <c r="BS21" s="75"/>
      <c r="BT21" s="75"/>
      <c r="BU21" s="75"/>
    </row>
    <row r="22" spans="1:73" x14ac:dyDescent="0.25">
      <c r="A22" s="29" t="s">
        <v>139</v>
      </c>
      <c r="B22" s="274" t="s">
        <v>347</v>
      </c>
      <c r="C22" s="275" t="s">
        <v>160</v>
      </c>
      <c r="D22" s="151"/>
      <c r="E22" s="101"/>
      <c r="F22" s="115"/>
      <c r="G22" s="101"/>
      <c r="H22" s="127"/>
      <c r="I22" s="101">
        <v>1</v>
      </c>
      <c r="J22" s="151"/>
      <c r="K22" s="101"/>
      <c r="L22" s="72">
        <v>4</v>
      </c>
      <c r="M22" s="151">
        <v>0</v>
      </c>
      <c r="N22" s="101">
        <v>2</v>
      </c>
      <c r="O22" s="151">
        <v>0</v>
      </c>
      <c r="P22" s="101">
        <v>8</v>
      </c>
      <c r="Q22" s="151" t="s">
        <v>34</v>
      </c>
      <c r="R22" s="147" t="s">
        <v>34</v>
      </c>
      <c r="S22" s="147" t="s">
        <v>34</v>
      </c>
      <c r="T22" s="147" t="s">
        <v>34</v>
      </c>
      <c r="U22" s="147" t="s">
        <v>34</v>
      </c>
      <c r="V22" s="147" t="s">
        <v>34</v>
      </c>
      <c r="W22" s="147" t="s">
        <v>34</v>
      </c>
      <c r="X22" s="147" t="s">
        <v>34</v>
      </c>
      <c r="Y22" s="147" t="s">
        <v>34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147" t="s">
        <v>34</v>
      </c>
      <c r="AE22" s="147" t="s">
        <v>34</v>
      </c>
      <c r="AF22" s="147" t="s">
        <v>34</v>
      </c>
      <c r="AG22" s="147" t="s">
        <v>34</v>
      </c>
      <c r="AH22" s="147" t="s">
        <v>34</v>
      </c>
      <c r="AI22" s="147" t="s">
        <v>34</v>
      </c>
      <c r="AJ22" s="147" t="s">
        <v>34</v>
      </c>
      <c r="AK22" s="147" t="s">
        <v>34</v>
      </c>
      <c r="AL22" s="147" t="s">
        <v>34</v>
      </c>
      <c r="AM22" s="147" t="s">
        <v>34</v>
      </c>
      <c r="AN22" s="117" t="s">
        <v>34</v>
      </c>
      <c r="AO22" s="117">
        <f t="shared" ref="AO22" si="6">SUM(Q22:AN22)</f>
        <v>0</v>
      </c>
      <c r="AP22" s="51" t="s">
        <v>34</v>
      </c>
      <c r="AQ22" s="147" t="s">
        <v>34</v>
      </c>
      <c r="AR22" s="147" t="s">
        <v>34</v>
      </c>
      <c r="AS22" s="147" t="s">
        <v>34</v>
      </c>
      <c r="AT22" s="147" t="s">
        <v>34</v>
      </c>
      <c r="AU22" s="198">
        <v>20</v>
      </c>
      <c r="AV22" s="198">
        <v>0</v>
      </c>
      <c r="AW22" s="198">
        <v>0</v>
      </c>
      <c r="AX22" s="198">
        <v>0</v>
      </c>
      <c r="AY22" s="198">
        <v>0</v>
      </c>
      <c r="AZ22" s="198">
        <v>0</v>
      </c>
      <c r="BA22" s="147">
        <v>66</v>
      </c>
      <c r="BB22" s="147">
        <v>61</v>
      </c>
      <c r="BC22" s="198">
        <v>0</v>
      </c>
      <c r="BD22" s="198">
        <v>5</v>
      </c>
      <c r="BE22" s="147" t="s">
        <v>34</v>
      </c>
      <c r="BF22" s="147" t="s">
        <v>34</v>
      </c>
      <c r="BG22" s="147" t="s">
        <v>34</v>
      </c>
      <c r="BH22" s="147" t="s">
        <v>34</v>
      </c>
      <c r="BI22" s="147" t="s">
        <v>34</v>
      </c>
      <c r="BJ22" s="147" t="s">
        <v>34</v>
      </c>
      <c r="BK22" s="147" t="s">
        <v>34</v>
      </c>
      <c r="BL22" s="147" t="s">
        <v>34</v>
      </c>
      <c r="BM22" s="117" t="s">
        <v>34</v>
      </c>
      <c r="BN22" s="117">
        <f t="shared" si="4"/>
        <v>152</v>
      </c>
      <c r="BO22" s="117">
        <f>BN22</f>
        <v>152</v>
      </c>
      <c r="BP22" s="75"/>
      <c r="BQ22" s="75"/>
      <c r="BR22" s="75"/>
      <c r="BS22" s="75"/>
      <c r="BT22" s="75"/>
      <c r="BU22" s="75"/>
    </row>
    <row r="23" spans="1:73" x14ac:dyDescent="0.25">
      <c r="A23" s="29" t="s">
        <v>139</v>
      </c>
      <c r="B23" s="274" t="s">
        <v>348</v>
      </c>
      <c r="C23" s="275" t="s">
        <v>12</v>
      </c>
      <c r="D23" s="151">
        <v>2</v>
      </c>
      <c r="E23" s="101">
        <v>1</v>
      </c>
      <c r="F23" s="115"/>
      <c r="G23" s="101"/>
      <c r="H23" s="127">
        <v>3</v>
      </c>
      <c r="I23" s="101">
        <v>1</v>
      </c>
      <c r="J23" s="151"/>
      <c r="K23" s="101"/>
      <c r="L23" s="72">
        <v>37</v>
      </c>
      <c r="M23" s="151">
        <v>11</v>
      </c>
      <c r="N23" s="101">
        <v>11</v>
      </c>
      <c r="O23" s="151">
        <v>11</v>
      </c>
      <c r="P23" s="101">
        <v>12</v>
      </c>
      <c r="Q23" s="281">
        <v>26</v>
      </c>
      <c r="R23" s="198">
        <v>20</v>
      </c>
      <c r="S23" s="198">
        <v>17</v>
      </c>
      <c r="T23" s="147">
        <v>90</v>
      </c>
      <c r="U23" s="147">
        <v>90</v>
      </c>
      <c r="V23" s="147" t="s">
        <v>34</v>
      </c>
      <c r="W23" s="147">
        <v>89</v>
      </c>
      <c r="X23" s="147">
        <v>74</v>
      </c>
      <c r="Y23" s="147">
        <v>45</v>
      </c>
      <c r="Z23" s="147">
        <v>77</v>
      </c>
      <c r="AA23" s="198">
        <v>6</v>
      </c>
      <c r="AB23" s="198">
        <v>13</v>
      </c>
      <c r="AC23" s="147">
        <v>68</v>
      </c>
      <c r="AD23" s="198">
        <v>8</v>
      </c>
      <c r="AE23" s="147">
        <v>67</v>
      </c>
      <c r="AF23" s="147">
        <v>56</v>
      </c>
      <c r="AG23" s="147">
        <v>27</v>
      </c>
      <c r="AH23" s="147" t="s">
        <v>34</v>
      </c>
      <c r="AI23" s="198">
        <v>15</v>
      </c>
      <c r="AJ23" s="198">
        <v>0</v>
      </c>
      <c r="AK23" s="198">
        <v>0</v>
      </c>
      <c r="AL23" s="198">
        <v>32</v>
      </c>
      <c r="AM23" s="198">
        <v>15</v>
      </c>
      <c r="AN23" s="101">
        <v>90</v>
      </c>
      <c r="AO23" s="117">
        <f t="shared" ref="AO23:AO30" si="7">SUM(Q23:AN23)</f>
        <v>925</v>
      </c>
      <c r="AP23" s="51">
        <v>61</v>
      </c>
      <c r="AQ23" s="198">
        <v>0</v>
      </c>
      <c r="AR23" s="198">
        <v>29</v>
      </c>
      <c r="AS23" s="198">
        <v>0</v>
      </c>
      <c r="AT23" s="198">
        <v>0</v>
      </c>
      <c r="AU23" s="198">
        <v>45</v>
      </c>
      <c r="AV23" s="198">
        <v>1</v>
      </c>
      <c r="AW23" s="198">
        <v>8</v>
      </c>
      <c r="AX23" s="198">
        <v>0</v>
      </c>
      <c r="AY23" s="147">
        <v>90</v>
      </c>
      <c r="AZ23" s="147">
        <v>72</v>
      </c>
      <c r="BA23" s="198">
        <v>15</v>
      </c>
      <c r="BB23" s="198">
        <v>14</v>
      </c>
      <c r="BC23" s="198">
        <v>0</v>
      </c>
      <c r="BD23" s="147">
        <v>75</v>
      </c>
      <c r="BE23" s="147">
        <v>58</v>
      </c>
      <c r="BF23" s="147">
        <v>87</v>
      </c>
      <c r="BG23" s="147">
        <v>63</v>
      </c>
      <c r="BH23" s="147">
        <v>86</v>
      </c>
      <c r="BI23" s="147">
        <v>90</v>
      </c>
      <c r="BJ23" s="147">
        <v>62</v>
      </c>
      <c r="BK23" s="147" t="s">
        <v>34</v>
      </c>
      <c r="BL23" s="198">
        <v>0</v>
      </c>
      <c r="BM23" s="101">
        <v>90</v>
      </c>
      <c r="BN23" s="117">
        <f t="shared" ref="BN23:BN31" si="8">SUM(AP23:BM23)</f>
        <v>946</v>
      </c>
      <c r="BO23" s="117">
        <f t="shared" ref="BO23:BO30" si="9">SUM(AO23+BN23)</f>
        <v>1871</v>
      </c>
      <c r="BP23" s="75"/>
      <c r="BQ23" s="75"/>
      <c r="BR23" s="75"/>
      <c r="BS23" s="75"/>
      <c r="BT23" s="75"/>
      <c r="BU23" s="75"/>
    </row>
    <row r="24" spans="1:73" x14ac:dyDescent="0.25">
      <c r="A24" s="29" t="s">
        <v>139</v>
      </c>
      <c r="B24" s="274" t="s">
        <v>349</v>
      </c>
      <c r="C24" s="275" t="s">
        <v>10</v>
      </c>
      <c r="D24" s="151"/>
      <c r="E24" s="101">
        <v>1</v>
      </c>
      <c r="F24" s="115"/>
      <c r="G24" s="101"/>
      <c r="H24" s="127">
        <v>8</v>
      </c>
      <c r="I24" s="101">
        <v>9</v>
      </c>
      <c r="J24" s="151"/>
      <c r="K24" s="101">
        <v>1</v>
      </c>
      <c r="L24" s="72">
        <v>39</v>
      </c>
      <c r="M24" s="151">
        <v>17</v>
      </c>
      <c r="N24" s="101">
        <v>22</v>
      </c>
      <c r="O24" s="151">
        <v>0</v>
      </c>
      <c r="P24" s="101">
        <v>0</v>
      </c>
      <c r="Q24" s="151">
        <v>69</v>
      </c>
      <c r="R24" s="147">
        <v>90</v>
      </c>
      <c r="S24" s="147">
        <v>90</v>
      </c>
      <c r="T24" s="147" t="s">
        <v>34</v>
      </c>
      <c r="U24" s="147" t="s">
        <v>34</v>
      </c>
      <c r="V24" s="147">
        <v>65</v>
      </c>
      <c r="W24" s="147" t="s">
        <v>34</v>
      </c>
      <c r="X24" s="147" t="s">
        <v>34</v>
      </c>
      <c r="Y24" s="147" t="s">
        <v>34</v>
      </c>
      <c r="Z24" s="147">
        <v>89</v>
      </c>
      <c r="AA24" s="147">
        <v>89</v>
      </c>
      <c r="AB24" s="147">
        <v>77</v>
      </c>
      <c r="AC24" s="147">
        <v>90</v>
      </c>
      <c r="AD24" s="147">
        <v>90</v>
      </c>
      <c r="AE24" s="147">
        <v>90</v>
      </c>
      <c r="AF24" s="147">
        <v>90</v>
      </c>
      <c r="AG24" s="147">
        <v>90</v>
      </c>
      <c r="AH24" s="147" t="s">
        <v>34</v>
      </c>
      <c r="AI24" s="147">
        <v>90</v>
      </c>
      <c r="AJ24" s="147">
        <v>90</v>
      </c>
      <c r="AK24" s="147">
        <v>90</v>
      </c>
      <c r="AL24" s="147">
        <v>90</v>
      </c>
      <c r="AM24" s="147">
        <v>75</v>
      </c>
      <c r="AN24" s="101" t="s">
        <v>34</v>
      </c>
      <c r="AO24" s="117">
        <f t="shared" si="7"/>
        <v>1454</v>
      </c>
      <c r="AP24" s="51">
        <v>90</v>
      </c>
      <c r="AQ24" s="147">
        <v>90</v>
      </c>
      <c r="AR24" s="147">
        <v>90</v>
      </c>
      <c r="AS24" s="147">
        <v>89</v>
      </c>
      <c r="AT24" s="147">
        <v>87</v>
      </c>
      <c r="AU24" s="147">
        <v>89</v>
      </c>
      <c r="AV24" s="147">
        <v>70</v>
      </c>
      <c r="AW24" s="147">
        <v>90</v>
      </c>
      <c r="AX24" s="147">
        <v>90</v>
      </c>
      <c r="AY24" s="147">
        <v>82</v>
      </c>
      <c r="AZ24" s="147">
        <v>90</v>
      </c>
      <c r="BA24" s="147" t="s">
        <v>34</v>
      </c>
      <c r="BB24" s="147">
        <v>90</v>
      </c>
      <c r="BC24" s="147">
        <v>90</v>
      </c>
      <c r="BD24" s="147">
        <v>90</v>
      </c>
      <c r="BE24" s="147">
        <v>90</v>
      </c>
      <c r="BF24" s="147">
        <v>90</v>
      </c>
      <c r="BG24" s="147">
        <v>90</v>
      </c>
      <c r="BH24" s="147">
        <v>90</v>
      </c>
      <c r="BI24" s="147">
        <v>90</v>
      </c>
      <c r="BJ24" s="147">
        <v>90</v>
      </c>
      <c r="BK24" s="147">
        <v>90</v>
      </c>
      <c r="BL24" s="147" t="s">
        <v>34</v>
      </c>
      <c r="BM24" s="101">
        <v>80</v>
      </c>
      <c r="BN24" s="117">
        <f t="shared" si="8"/>
        <v>1937</v>
      </c>
      <c r="BO24" s="117">
        <f t="shared" si="9"/>
        <v>3391</v>
      </c>
      <c r="BP24" s="75"/>
      <c r="BQ24" s="75"/>
      <c r="BR24" s="75"/>
      <c r="BS24" s="75"/>
      <c r="BT24" s="75"/>
      <c r="BU24" s="75"/>
    </row>
    <row r="25" spans="1:73" x14ac:dyDescent="0.25">
      <c r="A25" s="29" t="s">
        <v>139</v>
      </c>
      <c r="B25" s="274" t="s">
        <v>350</v>
      </c>
      <c r="C25" s="275" t="s">
        <v>7</v>
      </c>
      <c r="D25" s="151">
        <v>2</v>
      </c>
      <c r="E25" s="101">
        <v>2</v>
      </c>
      <c r="F25" s="115">
        <v>3</v>
      </c>
      <c r="G25" s="101"/>
      <c r="H25" s="127">
        <v>2</v>
      </c>
      <c r="I25" s="101">
        <v>4</v>
      </c>
      <c r="J25" s="151">
        <v>1</v>
      </c>
      <c r="K25" s="101"/>
      <c r="L25" s="72">
        <v>40</v>
      </c>
      <c r="M25" s="151">
        <v>12</v>
      </c>
      <c r="N25" s="101">
        <v>13</v>
      </c>
      <c r="O25" s="151">
        <v>6</v>
      </c>
      <c r="P25" s="101">
        <v>10</v>
      </c>
      <c r="Q25" s="281">
        <v>26</v>
      </c>
      <c r="R25" s="147">
        <v>63</v>
      </c>
      <c r="S25" s="147">
        <v>73</v>
      </c>
      <c r="T25" s="147">
        <v>73</v>
      </c>
      <c r="U25" s="147" t="s">
        <v>34</v>
      </c>
      <c r="V25" s="147" t="s">
        <v>34</v>
      </c>
      <c r="W25" s="147" t="s">
        <v>34</v>
      </c>
      <c r="X25" s="147" t="s">
        <v>34</v>
      </c>
      <c r="Y25" s="147" t="s">
        <v>34</v>
      </c>
      <c r="Z25" s="198">
        <v>13</v>
      </c>
      <c r="AA25" s="198">
        <v>45</v>
      </c>
      <c r="AB25" s="147">
        <v>58</v>
      </c>
      <c r="AC25" s="147">
        <v>86</v>
      </c>
      <c r="AD25" s="147">
        <v>82</v>
      </c>
      <c r="AE25" s="147">
        <v>72</v>
      </c>
      <c r="AF25" s="147">
        <v>90</v>
      </c>
      <c r="AG25" s="147">
        <v>45</v>
      </c>
      <c r="AH25" s="198">
        <v>28</v>
      </c>
      <c r="AI25" s="198">
        <v>24</v>
      </c>
      <c r="AJ25" s="147">
        <v>53</v>
      </c>
      <c r="AK25" s="147" t="s">
        <v>34</v>
      </c>
      <c r="AL25" s="147">
        <v>45</v>
      </c>
      <c r="AM25" s="198">
        <v>15</v>
      </c>
      <c r="AN25" s="101">
        <v>72</v>
      </c>
      <c r="AO25" s="117">
        <f t="shared" si="7"/>
        <v>963</v>
      </c>
      <c r="AP25" s="195">
        <v>12</v>
      </c>
      <c r="AQ25" s="198">
        <v>27</v>
      </c>
      <c r="AR25" s="198">
        <v>29</v>
      </c>
      <c r="AS25" s="198">
        <v>7</v>
      </c>
      <c r="AT25" s="198">
        <v>7</v>
      </c>
      <c r="AU25" s="198">
        <v>1</v>
      </c>
      <c r="AV25" s="198">
        <v>0</v>
      </c>
      <c r="AW25" s="198">
        <v>15</v>
      </c>
      <c r="AX25" s="198">
        <v>30</v>
      </c>
      <c r="AY25" s="147">
        <v>67</v>
      </c>
      <c r="AZ25" s="198">
        <v>52</v>
      </c>
      <c r="BA25" s="147">
        <v>90</v>
      </c>
      <c r="BB25" s="147">
        <v>89</v>
      </c>
      <c r="BC25" s="147">
        <v>77</v>
      </c>
      <c r="BD25" s="147">
        <v>68</v>
      </c>
      <c r="BE25" s="147">
        <v>81</v>
      </c>
      <c r="BF25" s="147">
        <v>67</v>
      </c>
      <c r="BG25" s="147">
        <v>68</v>
      </c>
      <c r="BH25" s="147">
        <v>90</v>
      </c>
      <c r="BI25" s="147">
        <v>90</v>
      </c>
      <c r="BJ25" s="147">
        <v>82</v>
      </c>
      <c r="BK25" s="147">
        <v>81</v>
      </c>
      <c r="BL25" s="147" t="s">
        <v>34</v>
      </c>
      <c r="BM25" s="101">
        <v>80</v>
      </c>
      <c r="BN25" s="117">
        <f t="shared" si="8"/>
        <v>1210</v>
      </c>
      <c r="BO25" s="117">
        <f t="shared" si="9"/>
        <v>2173</v>
      </c>
      <c r="BP25" s="75"/>
      <c r="BQ25" s="75"/>
      <c r="BR25" s="75"/>
      <c r="BS25" s="75"/>
      <c r="BT25" s="75"/>
      <c r="BU25" s="75"/>
    </row>
    <row r="26" spans="1:73" x14ac:dyDescent="0.25">
      <c r="A26" s="29" t="s">
        <v>139</v>
      </c>
      <c r="B26" s="274" t="s">
        <v>351</v>
      </c>
      <c r="C26" s="275" t="s">
        <v>19</v>
      </c>
      <c r="D26" s="151"/>
      <c r="E26" s="101">
        <v>1</v>
      </c>
      <c r="F26" s="115"/>
      <c r="G26" s="101"/>
      <c r="H26" s="127">
        <v>2</v>
      </c>
      <c r="I26" s="101">
        <v>2</v>
      </c>
      <c r="J26" s="151"/>
      <c r="K26" s="101">
        <v>1</v>
      </c>
      <c r="L26" s="72">
        <v>24</v>
      </c>
      <c r="M26" s="151">
        <v>5</v>
      </c>
      <c r="N26" s="101">
        <v>2</v>
      </c>
      <c r="O26" s="151">
        <v>13</v>
      </c>
      <c r="P26" s="101">
        <v>20</v>
      </c>
      <c r="Q26" s="151" t="s">
        <v>34</v>
      </c>
      <c r="R26" s="147" t="s">
        <v>34</v>
      </c>
      <c r="S26" s="147" t="s">
        <v>34</v>
      </c>
      <c r="T26" s="147" t="s">
        <v>34</v>
      </c>
      <c r="U26" s="198">
        <v>0</v>
      </c>
      <c r="V26" s="147" t="s">
        <v>34</v>
      </c>
      <c r="W26" s="198">
        <v>12</v>
      </c>
      <c r="X26" s="198">
        <v>0</v>
      </c>
      <c r="Y26" s="198">
        <v>45</v>
      </c>
      <c r="Z26" s="198">
        <v>13</v>
      </c>
      <c r="AA26" s="198">
        <v>1</v>
      </c>
      <c r="AB26" s="198">
        <v>0</v>
      </c>
      <c r="AC26" s="198">
        <v>4</v>
      </c>
      <c r="AD26" s="198">
        <v>0</v>
      </c>
      <c r="AE26" s="147" t="s">
        <v>34</v>
      </c>
      <c r="AF26" s="198">
        <v>0</v>
      </c>
      <c r="AG26" s="198">
        <v>63</v>
      </c>
      <c r="AH26" s="147">
        <v>84</v>
      </c>
      <c r="AI26" s="147">
        <v>90</v>
      </c>
      <c r="AJ26" s="198">
        <v>31</v>
      </c>
      <c r="AK26" s="147">
        <v>79</v>
      </c>
      <c r="AL26" s="198">
        <v>45</v>
      </c>
      <c r="AM26" s="147">
        <v>90</v>
      </c>
      <c r="AN26" s="101">
        <v>78</v>
      </c>
      <c r="AO26" s="117">
        <f t="shared" si="7"/>
        <v>635</v>
      </c>
      <c r="AP26" s="195">
        <v>0</v>
      </c>
      <c r="AQ26" s="198">
        <v>0</v>
      </c>
      <c r="AR26" s="198">
        <v>0</v>
      </c>
      <c r="AS26" s="198">
        <v>1</v>
      </c>
      <c r="AT26" s="198">
        <v>3</v>
      </c>
      <c r="AU26" s="147" t="s">
        <v>34</v>
      </c>
      <c r="AV26" s="198">
        <v>25</v>
      </c>
      <c r="AW26" s="198">
        <v>8</v>
      </c>
      <c r="AX26" s="198">
        <v>30</v>
      </c>
      <c r="AY26" s="147" t="s">
        <v>34</v>
      </c>
      <c r="AZ26" s="198">
        <v>0</v>
      </c>
      <c r="BA26" s="198">
        <v>45</v>
      </c>
      <c r="BB26" s="198">
        <v>0</v>
      </c>
      <c r="BC26" s="198">
        <v>32</v>
      </c>
      <c r="BD26" s="198">
        <v>0</v>
      </c>
      <c r="BE26" s="198">
        <v>0</v>
      </c>
      <c r="BF26" s="198">
        <v>0</v>
      </c>
      <c r="BG26" s="198">
        <v>0</v>
      </c>
      <c r="BH26" s="198">
        <v>28</v>
      </c>
      <c r="BI26" s="198">
        <v>6</v>
      </c>
      <c r="BJ26" s="198">
        <v>0</v>
      </c>
      <c r="BK26" s="147">
        <v>90</v>
      </c>
      <c r="BL26" s="147">
        <v>90</v>
      </c>
      <c r="BM26" s="289">
        <v>0</v>
      </c>
      <c r="BN26" s="117">
        <f t="shared" si="8"/>
        <v>358</v>
      </c>
      <c r="BO26" s="117">
        <f t="shared" si="9"/>
        <v>993</v>
      </c>
      <c r="BP26" s="75"/>
      <c r="BQ26" s="75"/>
      <c r="BR26" s="75"/>
      <c r="BS26" s="75"/>
      <c r="BT26" s="75"/>
      <c r="BU26" s="75"/>
    </row>
    <row r="27" spans="1:73" x14ac:dyDescent="0.25">
      <c r="A27" s="29" t="s">
        <v>139</v>
      </c>
      <c r="B27" s="274" t="s">
        <v>708</v>
      </c>
      <c r="C27" s="275" t="s">
        <v>518</v>
      </c>
      <c r="D27" s="151"/>
      <c r="E27" s="101"/>
      <c r="F27" s="115"/>
      <c r="G27" s="101"/>
      <c r="H27" s="127"/>
      <c r="I27" s="101"/>
      <c r="J27" s="151"/>
      <c r="K27" s="101"/>
      <c r="L27" s="72">
        <v>0</v>
      </c>
      <c r="M27" s="151">
        <v>0</v>
      </c>
      <c r="N27" s="101">
        <v>0</v>
      </c>
      <c r="O27" s="151">
        <v>0</v>
      </c>
      <c r="P27" s="101">
        <v>1</v>
      </c>
      <c r="Q27" s="151" t="s">
        <v>34</v>
      </c>
      <c r="R27" s="147" t="s">
        <v>34</v>
      </c>
      <c r="S27" s="147" t="s">
        <v>34</v>
      </c>
      <c r="T27" s="147" t="s">
        <v>34</v>
      </c>
      <c r="U27" s="147" t="s">
        <v>34</v>
      </c>
      <c r="V27" s="147" t="s">
        <v>34</v>
      </c>
      <c r="W27" s="147" t="s">
        <v>34</v>
      </c>
      <c r="X27" s="147" t="s">
        <v>34</v>
      </c>
      <c r="Y27" s="147" t="s">
        <v>34</v>
      </c>
      <c r="Z27" s="147" t="s">
        <v>34</v>
      </c>
      <c r="AA27" s="147" t="s">
        <v>34</v>
      </c>
      <c r="AB27" s="147" t="s">
        <v>34</v>
      </c>
      <c r="AC27" s="147" t="s">
        <v>34</v>
      </c>
      <c r="AD27" s="147" t="s">
        <v>34</v>
      </c>
      <c r="AE27" s="147" t="s">
        <v>34</v>
      </c>
      <c r="AF27" s="147" t="s">
        <v>34</v>
      </c>
      <c r="AG27" s="147" t="s">
        <v>34</v>
      </c>
      <c r="AH27" s="147" t="s">
        <v>34</v>
      </c>
      <c r="AI27" s="147" t="s">
        <v>34</v>
      </c>
      <c r="AJ27" s="147" t="s">
        <v>34</v>
      </c>
      <c r="AK27" s="147" t="s">
        <v>34</v>
      </c>
      <c r="AL27" s="147" t="s">
        <v>34</v>
      </c>
      <c r="AM27" s="147" t="s">
        <v>34</v>
      </c>
      <c r="AN27" s="101" t="s">
        <v>34</v>
      </c>
      <c r="AO27" s="117">
        <f t="shared" si="7"/>
        <v>0</v>
      </c>
      <c r="AP27" s="51" t="s">
        <v>34</v>
      </c>
      <c r="AQ27" s="147" t="s">
        <v>34</v>
      </c>
      <c r="AR27" s="147" t="s">
        <v>34</v>
      </c>
      <c r="AS27" s="147" t="s">
        <v>34</v>
      </c>
      <c r="AT27" s="147" t="s">
        <v>34</v>
      </c>
      <c r="AU27" s="147" t="s">
        <v>34</v>
      </c>
      <c r="AV27" s="147" t="s">
        <v>34</v>
      </c>
      <c r="AW27" s="147" t="s">
        <v>34</v>
      </c>
      <c r="AX27" s="147" t="s">
        <v>34</v>
      </c>
      <c r="AY27" s="147" t="s">
        <v>34</v>
      </c>
      <c r="AZ27" s="147" t="s">
        <v>34</v>
      </c>
      <c r="BA27" s="147" t="s">
        <v>34</v>
      </c>
      <c r="BB27" s="147" t="s">
        <v>34</v>
      </c>
      <c r="BC27" s="147" t="s">
        <v>34</v>
      </c>
      <c r="BD27" s="147" t="s">
        <v>34</v>
      </c>
      <c r="BE27" s="147" t="s">
        <v>34</v>
      </c>
      <c r="BF27" s="147" t="s">
        <v>34</v>
      </c>
      <c r="BG27" s="147" t="s">
        <v>34</v>
      </c>
      <c r="BH27" s="147" t="s">
        <v>34</v>
      </c>
      <c r="BI27" s="147" t="s">
        <v>34</v>
      </c>
      <c r="BJ27" s="147" t="s">
        <v>34</v>
      </c>
      <c r="BK27" s="147" t="s">
        <v>34</v>
      </c>
      <c r="BL27" s="198">
        <v>0</v>
      </c>
      <c r="BM27" s="101" t="s">
        <v>34</v>
      </c>
      <c r="BN27" s="117">
        <f t="shared" si="8"/>
        <v>0</v>
      </c>
      <c r="BO27" s="117">
        <f t="shared" si="9"/>
        <v>0</v>
      </c>
      <c r="BP27" s="75"/>
      <c r="BQ27" s="75"/>
      <c r="BR27" s="75"/>
      <c r="BS27" s="75"/>
      <c r="BT27" s="75"/>
      <c r="BU27" s="75"/>
    </row>
    <row r="28" spans="1:73" x14ac:dyDescent="0.25">
      <c r="A28" s="29" t="s">
        <v>139</v>
      </c>
      <c r="B28" s="274" t="s">
        <v>352</v>
      </c>
      <c r="C28" s="275" t="s">
        <v>23</v>
      </c>
      <c r="D28" s="151"/>
      <c r="E28" s="101"/>
      <c r="F28" s="115"/>
      <c r="G28" s="101"/>
      <c r="H28" s="127"/>
      <c r="I28" s="101"/>
      <c r="J28" s="151">
        <v>1</v>
      </c>
      <c r="K28" s="101"/>
      <c r="L28" s="72">
        <v>4</v>
      </c>
      <c r="M28" s="151">
        <v>0</v>
      </c>
      <c r="N28" s="101">
        <v>0</v>
      </c>
      <c r="O28" s="151">
        <v>7</v>
      </c>
      <c r="P28" s="101">
        <v>0</v>
      </c>
      <c r="Q28" s="151" t="s">
        <v>34</v>
      </c>
      <c r="R28" s="147" t="s">
        <v>34</v>
      </c>
      <c r="S28" s="147" t="s">
        <v>34</v>
      </c>
      <c r="T28" s="198">
        <v>0</v>
      </c>
      <c r="U28" s="198">
        <v>0</v>
      </c>
      <c r="V28" s="198">
        <v>25</v>
      </c>
      <c r="W28" s="198">
        <v>1</v>
      </c>
      <c r="X28" s="147" t="s">
        <v>34</v>
      </c>
      <c r="Y28" s="198">
        <v>14</v>
      </c>
      <c r="Z28" s="147" t="s">
        <v>34</v>
      </c>
      <c r="AA28" s="147" t="s">
        <v>34</v>
      </c>
      <c r="AB28" s="147" t="s">
        <v>34</v>
      </c>
      <c r="AC28" s="198">
        <v>22</v>
      </c>
      <c r="AD28" s="147" t="s">
        <v>34</v>
      </c>
      <c r="AE28" s="147" t="s">
        <v>34</v>
      </c>
      <c r="AF28" s="147" t="s">
        <v>34</v>
      </c>
      <c r="AG28" s="147" t="s">
        <v>34</v>
      </c>
      <c r="AH28" s="147" t="s">
        <v>34</v>
      </c>
      <c r="AI28" s="147" t="s">
        <v>34</v>
      </c>
      <c r="AJ28" s="147" t="s">
        <v>34</v>
      </c>
      <c r="AK28" s="147" t="s">
        <v>34</v>
      </c>
      <c r="AL28" s="147" t="s">
        <v>34</v>
      </c>
      <c r="AM28" s="147" t="s">
        <v>34</v>
      </c>
      <c r="AN28" s="289">
        <v>0</v>
      </c>
      <c r="AO28" s="117">
        <f t="shared" si="7"/>
        <v>62</v>
      </c>
      <c r="AP28" s="51" t="s">
        <v>34</v>
      </c>
      <c r="AQ28" s="147" t="s">
        <v>34</v>
      </c>
      <c r="AR28" s="147" t="s">
        <v>34</v>
      </c>
      <c r="AS28" s="147" t="s">
        <v>34</v>
      </c>
      <c r="AT28" s="147" t="s">
        <v>34</v>
      </c>
      <c r="AU28" s="147" t="s">
        <v>34</v>
      </c>
      <c r="AV28" s="147" t="s">
        <v>34</v>
      </c>
      <c r="AW28" s="147" t="s">
        <v>34</v>
      </c>
      <c r="AX28" s="147" t="s">
        <v>34</v>
      </c>
      <c r="AY28" s="147" t="s">
        <v>34</v>
      </c>
      <c r="AZ28" s="147" t="s">
        <v>34</v>
      </c>
      <c r="BA28" s="147" t="s">
        <v>34</v>
      </c>
      <c r="BB28" s="147" t="s">
        <v>34</v>
      </c>
      <c r="BC28" s="147" t="s">
        <v>34</v>
      </c>
      <c r="BD28" s="147" t="s">
        <v>34</v>
      </c>
      <c r="BE28" s="147" t="s">
        <v>34</v>
      </c>
      <c r="BF28" s="147" t="s">
        <v>34</v>
      </c>
      <c r="BG28" s="147" t="s">
        <v>34</v>
      </c>
      <c r="BH28" s="147" t="s">
        <v>34</v>
      </c>
      <c r="BI28" s="147" t="s">
        <v>34</v>
      </c>
      <c r="BJ28" s="147" t="s">
        <v>34</v>
      </c>
      <c r="BK28" s="147" t="s">
        <v>34</v>
      </c>
      <c r="BL28" s="147" t="s">
        <v>34</v>
      </c>
      <c r="BM28" s="101" t="s">
        <v>34</v>
      </c>
      <c r="BN28" s="117">
        <f t="shared" si="8"/>
        <v>0</v>
      </c>
      <c r="BO28" s="117">
        <f t="shared" si="9"/>
        <v>62</v>
      </c>
      <c r="BP28" s="75"/>
      <c r="BQ28" s="75"/>
      <c r="BR28" s="75"/>
      <c r="BS28" s="75"/>
      <c r="BT28" s="75"/>
      <c r="BU28" s="75"/>
    </row>
    <row r="29" spans="1:73" x14ac:dyDescent="0.25">
      <c r="A29" s="29" t="s">
        <v>139</v>
      </c>
      <c r="B29" s="274" t="s">
        <v>394</v>
      </c>
      <c r="C29" s="275" t="s">
        <v>395</v>
      </c>
      <c r="D29" s="151"/>
      <c r="E29" s="101"/>
      <c r="F29" s="115"/>
      <c r="G29" s="101"/>
      <c r="H29" s="127"/>
      <c r="I29" s="101"/>
      <c r="J29" s="151"/>
      <c r="K29" s="101"/>
      <c r="L29" s="72">
        <v>0</v>
      </c>
      <c r="M29" s="151">
        <v>0</v>
      </c>
      <c r="N29" s="101">
        <v>0</v>
      </c>
      <c r="O29" s="151">
        <v>0</v>
      </c>
      <c r="P29" s="101">
        <v>3</v>
      </c>
      <c r="Q29" s="151" t="s">
        <v>34</v>
      </c>
      <c r="R29" s="147" t="s">
        <v>34</v>
      </c>
      <c r="S29" s="147" t="s">
        <v>34</v>
      </c>
      <c r="T29" s="147" t="s">
        <v>34</v>
      </c>
      <c r="U29" s="147" t="s">
        <v>34</v>
      </c>
      <c r="V29" s="147" t="s">
        <v>34</v>
      </c>
      <c r="W29" s="147" t="s">
        <v>34</v>
      </c>
      <c r="X29" s="147" t="s">
        <v>34</v>
      </c>
      <c r="Y29" s="147" t="s">
        <v>34</v>
      </c>
      <c r="Z29" s="147" t="s">
        <v>34</v>
      </c>
      <c r="AA29" s="147" t="s">
        <v>34</v>
      </c>
      <c r="AB29" s="147" t="s">
        <v>34</v>
      </c>
      <c r="AC29" s="147" t="s">
        <v>34</v>
      </c>
      <c r="AD29" s="147" t="s">
        <v>34</v>
      </c>
      <c r="AE29" s="147" t="s">
        <v>34</v>
      </c>
      <c r="AF29" s="147" t="s">
        <v>34</v>
      </c>
      <c r="AG29" s="147" t="s">
        <v>34</v>
      </c>
      <c r="AH29" s="147" t="s">
        <v>34</v>
      </c>
      <c r="AI29" s="147" t="s">
        <v>34</v>
      </c>
      <c r="AJ29" s="147" t="s">
        <v>34</v>
      </c>
      <c r="AK29" s="147" t="s">
        <v>34</v>
      </c>
      <c r="AL29" s="147" t="s">
        <v>34</v>
      </c>
      <c r="AM29" s="147" t="s">
        <v>34</v>
      </c>
      <c r="AN29" s="101" t="s">
        <v>34</v>
      </c>
      <c r="AO29" s="117">
        <f t="shared" si="7"/>
        <v>0</v>
      </c>
      <c r="AP29" s="51" t="s">
        <v>34</v>
      </c>
      <c r="AQ29" s="147" t="s">
        <v>34</v>
      </c>
      <c r="AR29" s="147" t="s">
        <v>34</v>
      </c>
      <c r="AS29" s="147" t="s">
        <v>34</v>
      </c>
      <c r="AT29" s="147" t="s">
        <v>34</v>
      </c>
      <c r="AU29" s="147" t="s">
        <v>34</v>
      </c>
      <c r="AV29" s="147" t="s">
        <v>34</v>
      </c>
      <c r="AW29" s="147" t="s">
        <v>34</v>
      </c>
      <c r="AX29" s="147" t="s">
        <v>34</v>
      </c>
      <c r="AY29" s="147" t="s">
        <v>34</v>
      </c>
      <c r="AZ29" s="147" t="s">
        <v>34</v>
      </c>
      <c r="BA29" s="147" t="s">
        <v>34</v>
      </c>
      <c r="BB29" s="147" t="s">
        <v>34</v>
      </c>
      <c r="BC29" s="147" t="s">
        <v>34</v>
      </c>
      <c r="BD29" s="147" t="s">
        <v>34</v>
      </c>
      <c r="BE29" s="147" t="s">
        <v>34</v>
      </c>
      <c r="BF29" s="147" t="s">
        <v>34</v>
      </c>
      <c r="BG29" s="147" t="s">
        <v>34</v>
      </c>
      <c r="BH29" s="147" t="s">
        <v>34</v>
      </c>
      <c r="BI29" s="198">
        <v>0</v>
      </c>
      <c r="BJ29" s="147" t="s">
        <v>34</v>
      </c>
      <c r="BK29" s="147" t="s">
        <v>34</v>
      </c>
      <c r="BL29" s="198">
        <v>0</v>
      </c>
      <c r="BM29" s="289">
        <v>0</v>
      </c>
      <c r="BN29" s="117">
        <f t="shared" si="8"/>
        <v>0</v>
      </c>
      <c r="BO29" s="117">
        <f t="shared" si="9"/>
        <v>0</v>
      </c>
      <c r="BP29" s="75"/>
      <c r="BQ29" s="75"/>
      <c r="BR29" s="75"/>
      <c r="BS29" s="75"/>
      <c r="BT29" s="75"/>
      <c r="BU29" s="75"/>
    </row>
    <row r="30" spans="1:73" x14ac:dyDescent="0.25">
      <c r="A30" s="29" t="s">
        <v>139</v>
      </c>
      <c r="B30" s="274" t="s">
        <v>353</v>
      </c>
      <c r="C30" s="275" t="s">
        <v>149</v>
      </c>
      <c r="D30" s="151"/>
      <c r="E30" s="101">
        <v>1</v>
      </c>
      <c r="F30" s="115"/>
      <c r="G30" s="101"/>
      <c r="H30" s="127">
        <v>4</v>
      </c>
      <c r="I30" s="101">
        <v>9</v>
      </c>
      <c r="J30" s="151">
        <v>1</v>
      </c>
      <c r="K30" s="101"/>
      <c r="L30" s="72">
        <v>31</v>
      </c>
      <c r="M30" s="151">
        <v>11</v>
      </c>
      <c r="N30" s="101">
        <v>19</v>
      </c>
      <c r="O30" s="151">
        <v>1</v>
      </c>
      <c r="P30" s="101">
        <v>0</v>
      </c>
      <c r="Q30" s="151" t="s">
        <v>34</v>
      </c>
      <c r="R30" s="147" t="s">
        <v>34</v>
      </c>
      <c r="S30" s="147" t="s">
        <v>34</v>
      </c>
      <c r="T30" s="147" t="s">
        <v>34</v>
      </c>
      <c r="U30" s="147" t="s">
        <v>34</v>
      </c>
      <c r="V30" s="198">
        <v>20</v>
      </c>
      <c r="W30" s="147">
        <v>78</v>
      </c>
      <c r="X30" s="147">
        <v>90</v>
      </c>
      <c r="Y30" s="147">
        <v>90</v>
      </c>
      <c r="Z30" s="147">
        <v>90</v>
      </c>
      <c r="AA30" s="147">
        <v>90</v>
      </c>
      <c r="AB30" s="147">
        <v>90</v>
      </c>
      <c r="AC30" s="147">
        <v>90</v>
      </c>
      <c r="AD30" s="147">
        <v>58</v>
      </c>
      <c r="AE30" s="147" t="s">
        <v>34</v>
      </c>
      <c r="AF30" s="147">
        <v>90</v>
      </c>
      <c r="AG30" s="147" t="s">
        <v>34</v>
      </c>
      <c r="AH30" s="147" t="s">
        <v>34</v>
      </c>
      <c r="AI30" s="147">
        <v>75</v>
      </c>
      <c r="AJ30" s="147">
        <v>90</v>
      </c>
      <c r="AK30" s="147" t="s">
        <v>34</v>
      </c>
      <c r="AL30" s="147" t="s">
        <v>34</v>
      </c>
      <c r="AM30" s="147" t="s">
        <v>34</v>
      </c>
      <c r="AN30" s="101" t="s">
        <v>34</v>
      </c>
      <c r="AO30" s="117">
        <f t="shared" si="7"/>
        <v>951</v>
      </c>
      <c r="AP30" s="51" t="s">
        <v>34</v>
      </c>
      <c r="AQ30" s="147">
        <v>90</v>
      </c>
      <c r="AR30" s="147" t="s">
        <v>34</v>
      </c>
      <c r="AS30" s="147">
        <v>89</v>
      </c>
      <c r="AT30" s="147">
        <v>90</v>
      </c>
      <c r="AU30" s="147">
        <v>90</v>
      </c>
      <c r="AV30" s="147">
        <v>90</v>
      </c>
      <c r="AW30" s="147">
        <v>82</v>
      </c>
      <c r="AX30" s="147">
        <v>90</v>
      </c>
      <c r="AY30" s="147" t="s">
        <v>34</v>
      </c>
      <c r="AZ30" s="147">
        <v>90</v>
      </c>
      <c r="BA30" s="147">
        <v>45</v>
      </c>
      <c r="BB30" s="147">
        <v>90</v>
      </c>
      <c r="BC30" s="147" t="s">
        <v>34</v>
      </c>
      <c r="BD30" s="147" t="s">
        <v>34</v>
      </c>
      <c r="BE30" s="147">
        <v>90</v>
      </c>
      <c r="BF30" s="147">
        <v>90</v>
      </c>
      <c r="BG30" s="147">
        <v>90</v>
      </c>
      <c r="BH30" s="147">
        <v>90</v>
      </c>
      <c r="BI30" s="147">
        <v>90</v>
      </c>
      <c r="BJ30" s="147">
        <v>90</v>
      </c>
      <c r="BK30" s="147">
        <v>90</v>
      </c>
      <c r="BL30" s="147">
        <v>90</v>
      </c>
      <c r="BM30" s="101">
        <v>90</v>
      </c>
      <c r="BN30" s="117">
        <f t="shared" si="8"/>
        <v>1656</v>
      </c>
      <c r="BO30" s="117">
        <f t="shared" si="9"/>
        <v>2607</v>
      </c>
      <c r="BP30" s="75"/>
      <c r="BQ30" s="75"/>
      <c r="BR30" s="75"/>
      <c r="BS30" s="75"/>
      <c r="BT30" s="75"/>
      <c r="BU30" s="75"/>
    </row>
    <row r="31" spans="1:73" x14ac:dyDescent="0.25">
      <c r="A31" s="30" t="s">
        <v>140</v>
      </c>
      <c r="B31" s="274" t="s">
        <v>354</v>
      </c>
      <c r="C31" s="275" t="s">
        <v>2</v>
      </c>
      <c r="D31" s="151"/>
      <c r="E31" s="101">
        <v>2</v>
      </c>
      <c r="F31" s="115"/>
      <c r="G31" s="101"/>
      <c r="H31" s="127"/>
      <c r="I31" s="101">
        <v>1</v>
      </c>
      <c r="J31" s="151"/>
      <c r="K31" s="101">
        <v>1</v>
      </c>
      <c r="L31" s="72">
        <v>16</v>
      </c>
      <c r="M31" s="151">
        <v>0</v>
      </c>
      <c r="N31" s="101">
        <v>16</v>
      </c>
      <c r="O31" s="151">
        <v>0</v>
      </c>
      <c r="P31" s="101">
        <v>0</v>
      </c>
      <c r="Q31" s="151" t="s">
        <v>34</v>
      </c>
      <c r="R31" s="147" t="s">
        <v>34</v>
      </c>
      <c r="S31" s="147" t="s">
        <v>34</v>
      </c>
      <c r="T31" s="147" t="s">
        <v>34</v>
      </c>
      <c r="U31" s="147" t="s">
        <v>34</v>
      </c>
      <c r="V31" s="147" t="s">
        <v>34</v>
      </c>
      <c r="W31" s="147" t="s">
        <v>34</v>
      </c>
      <c r="X31" s="147" t="s">
        <v>34</v>
      </c>
      <c r="Y31" s="147" t="s">
        <v>34</v>
      </c>
      <c r="Z31" s="147" t="s">
        <v>34</v>
      </c>
      <c r="AA31" s="147" t="s">
        <v>34</v>
      </c>
      <c r="AB31" s="147" t="s">
        <v>34</v>
      </c>
      <c r="AC31" s="147" t="s">
        <v>34</v>
      </c>
      <c r="AD31" s="147" t="s">
        <v>34</v>
      </c>
      <c r="AE31" s="147" t="s">
        <v>34</v>
      </c>
      <c r="AF31" s="147" t="s">
        <v>34</v>
      </c>
      <c r="AG31" s="147" t="s">
        <v>34</v>
      </c>
      <c r="AH31" s="147" t="s">
        <v>34</v>
      </c>
      <c r="AI31" s="147" t="s">
        <v>34</v>
      </c>
      <c r="AJ31" s="147" t="s">
        <v>34</v>
      </c>
      <c r="AK31" s="147" t="s">
        <v>34</v>
      </c>
      <c r="AL31" s="147" t="s">
        <v>34</v>
      </c>
      <c r="AM31" s="147" t="s">
        <v>34</v>
      </c>
      <c r="AN31" s="117" t="s">
        <v>34</v>
      </c>
      <c r="AO31" s="117" t="s">
        <v>34</v>
      </c>
      <c r="AP31" s="51" t="s">
        <v>34</v>
      </c>
      <c r="AQ31" s="147">
        <v>76</v>
      </c>
      <c r="AR31" s="147">
        <v>61</v>
      </c>
      <c r="AS31" s="147">
        <v>83</v>
      </c>
      <c r="AT31" s="147">
        <v>75</v>
      </c>
      <c r="AU31" s="147">
        <v>90</v>
      </c>
      <c r="AV31" s="147">
        <v>55</v>
      </c>
      <c r="AW31" s="147" t="s">
        <v>34</v>
      </c>
      <c r="AX31" s="147" t="s">
        <v>34</v>
      </c>
      <c r="AY31" s="147" t="s">
        <v>34</v>
      </c>
      <c r="AZ31" s="147">
        <v>90</v>
      </c>
      <c r="BA31" s="147" t="s">
        <v>34</v>
      </c>
      <c r="BB31" s="147" t="s">
        <v>34</v>
      </c>
      <c r="BC31" s="147" t="s">
        <v>34</v>
      </c>
      <c r="BD31" s="147" t="s">
        <v>34</v>
      </c>
      <c r="BE31" s="147">
        <v>58</v>
      </c>
      <c r="BF31" s="147">
        <v>53</v>
      </c>
      <c r="BG31" s="147">
        <v>90</v>
      </c>
      <c r="BH31" s="147">
        <v>86</v>
      </c>
      <c r="BI31" s="147">
        <v>72</v>
      </c>
      <c r="BJ31" s="147">
        <v>66</v>
      </c>
      <c r="BK31" s="147">
        <v>81</v>
      </c>
      <c r="BL31" s="147">
        <v>74</v>
      </c>
      <c r="BM31" s="117">
        <v>65</v>
      </c>
      <c r="BN31" s="117">
        <f t="shared" si="8"/>
        <v>1175</v>
      </c>
      <c r="BO31" s="117">
        <f>BN31</f>
        <v>1175</v>
      </c>
      <c r="BP31" s="75"/>
      <c r="BQ31" s="75"/>
      <c r="BR31" s="75"/>
      <c r="BS31" s="75"/>
      <c r="BT31" s="75"/>
      <c r="BU31" s="75"/>
    </row>
    <row r="32" spans="1:73" x14ac:dyDescent="0.25">
      <c r="A32" s="30" t="s">
        <v>140</v>
      </c>
      <c r="B32" s="274" t="s">
        <v>355</v>
      </c>
      <c r="C32" s="275" t="s">
        <v>17</v>
      </c>
      <c r="D32" s="151"/>
      <c r="E32" s="101"/>
      <c r="F32" s="115"/>
      <c r="G32" s="101"/>
      <c r="H32" s="127"/>
      <c r="I32" s="101"/>
      <c r="J32" s="151"/>
      <c r="K32" s="101"/>
      <c r="L32" s="72">
        <v>2</v>
      </c>
      <c r="M32" s="151">
        <v>0</v>
      </c>
      <c r="N32" s="101">
        <v>0</v>
      </c>
      <c r="O32" s="151">
        <v>4</v>
      </c>
      <c r="P32" s="101">
        <v>7</v>
      </c>
      <c r="Q32" s="151" t="s">
        <v>34</v>
      </c>
      <c r="R32" s="147" t="s">
        <v>34</v>
      </c>
      <c r="S32" s="147" t="s">
        <v>34</v>
      </c>
      <c r="T32" s="147" t="s">
        <v>34</v>
      </c>
      <c r="U32" s="147" t="s">
        <v>34</v>
      </c>
      <c r="V32" s="147" t="s">
        <v>34</v>
      </c>
      <c r="W32" s="147" t="s">
        <v>34</v>
      </c>
      <c r="X32" s="147" t="s">
        <v>34</v>
      </c>
      <c r="Y32" s="147" t="s">
        <v>34</v>
      </c>
      <c r="Z32" s="147" t="s">
        <v>34</v>
      </c>
      <c r="AA32" s="147" t="s">
        <v>34</v>
      </c>
      <c r="AB32" s="147" t="s">
        <v>34</v>
      </c>
      <c r="AC32" s="147" t="s">
        <v>34</v>
      </c>
      <c r="AD32" s="147" t="s">
        <v>34</v>
      </c>
      <c r="AE32" s="147" t="s">
        <v>34</v>
      </c>
      <c r="AF32" s="147" t="s">
        <v>34</v>
      </c>
      <c r="AG32" s="147" t="s">
        <v>34</v>
      </c>
      <c r="AH32" s="147" t="s">
        <v>34</v>
      </c>
      <c r="AI32" s="147" t="s">
        <v>34</v>
      </c>
      <c r="AJ32" s="147" t="s">
        <v>34</v>
      </c>
      <c r="AK32" s="198">
        <v>0</v>
      </c>
      <c r="AL32" s="198">
        <v>15</v>
      </c>
      <c r="AM32" s="198">
        <v>0</v>
      </c>
      <c r="AN32" s="288">
        <v>12</v>
      </c>
      <c r="AO32" s="117">
        <f>SUM(Q32:AN32)</f>
        <v>27</v>
      </c>
      <c r="AP32" s="51" t="s">
        <v>34</v>
      </c>
      <c r="AQ32" s="147" t="s">
        <v>34</v>
      </c>
      <c r="AR32" s="147" t="s">
        <v>34</v>
      </c>
      <c r="AS32" s="147" t="s">
        <v>34</v>
      </c>
      <c r="AT32" s="147" t="s">
        <v>34</v>
      </c>
      <c r="AU32" s="147" t="s">
        <v>34</v>
      </c>
      <c r="AV32" s="147" t="s">
        <v>34</v>
      </c>
      <c r="AW32" s="147" t="s">
        <v>34</v>
      </c>
      <c r="AX32" s="147" t="s">
        <v>34</v>
      </c>
      <c r="AY32" s="198">
        <v>0</v>
      </c>
      <c r="AZ32" s="147" t="s">
        <v>34</v>
      </c>
      <c r="BA32" s="198">
        <v>0</v>
      </c>
      <c r="BB32" s="147" t="s">
        <v>34</v>
      </c>
      <c r="BC32" s="147" t="s">
        <v>34</v>
      </c>
      <c r="BD32" s="147" t="s">
        <v>34</v>
      </c>
      <c r="BE32" s="147" t="s">
        <v>34</v>
      </c>
      <c r="BF32" s="147" t="s">
        <v>34</v>
      </c>
      <c r="BG32" s="147" t="s">
        <v>34</v>
      </c>
      <c r="BH32" s="198">
        <v>0</v>
      </c>
      <c r="BI32" s="198">
        <v>0</v>
      </c>
      <c r="BJ32" s="147" t="s">
        <v>34</v>
      </c>
      <c r="BK32" s="198">
        <v>0</v>
      </c>
      <c r="BL32" s="198">
        <v>0</v>
      </c>
      <c r="BM32" s="288">
        <v>0</v>
      </c>
      <c r="BN32" s="117">
        <f t="shared" ref="BN32:BN40" si="10">SUM(AP32:BM32)</f>
        <v>0</v>
      </c>
      <c r="BO32" s="117">
        <f>SUM(AO32+BN32)</f>
        <v>27</v>
      </c>
      <c r="BP32" s="75"/>
      <c r="BQ32" s="75"/>
      <c r="BR32" s="75"/>
      <c r="BS32" s="75"/>
      <c r="BT32" s="75"/>
      <c r="BU32" s="75"/>
    </row>
    <row r="33" spans="1:73" x14ac:dyDescent="0.25">
      <c r="A33" s="30" t="s">
        <v>140</v>
      </c>
      <c r="B33" s="274" t="s">
        <v>356</v>
      </c>
      <c r="C33" s="275" t="s">
        <v>31</v>
      </c>
      <c r="D33" s="151"/>
      <c r="E33" s="101"/>
      <c r="F33" s="115">
        <v>1</v>
      </c>
      <c r="G33" s="101"/>
      <c r="H33" s="127">
        <v>2</v>
      </c>
      <c r="I33" s="101"/>
      <c r="J33" s="151">
        <v>2</v>
      </c>
      <c r="K33" s="101"/>
      <c r="L33" s="72">
        <v>16</v>
      </c>
      <c r="M33" s="151">
        <v>8</v>
      </c>
      <c r="N33" s="101">
        <v>0</v>
      </c>
      <c r="O33" s="151">
        <v>9</v>
      </c>
      <c r="P33" s="101">
        <v>0</v>
      </c>
      <c r="Q33" s="151">
        <v>90</v>
      </c>
      <c r="R33" s="147">
        <v>7</v>
      </c>
      <c r="S33" s="147" t="s">
        <v>34</v>
      </c>
      <c r="T33" s="198">
        <v>25</v>
      </c>
      <c r="U33" s="198">
        <v>18</v>
      </c>
      <c r="V33" s="198">
        <v>8</v>
      </c>
      <c r="W33" s="147" t="s">
        <v>34</v>
      </c>
      <c r="X33" s="147" t="s">
        <v>34</v>
      </c>
      <c r="Y33" s="147" t="s">
        <v>34</v>
      </c>
      <c r="Z33" s="198">
        <v>24</v>
      </c>
      <c r="AA33" s="198">
        <v>45</v>
      </c>
      <c r="AB33" s="147">
        <v>67</v>
      </c>
      <c r="AC33" s="147">
        <v>71</v>
      </c>
      <c r="AD33" s="147" t="s">
        <v>34</v>
      </c>
      <c r="AE33" s="147">
        <v>80</v>
      </c>
      <c r="AF33" s="198">
        <v>0</v>
      </c>
      <c r="AG33" s="147">
        <v>89</v>
      </c>
      <c r="AH33" s="147">
        <v>67</v>
      </c>
      <c r="AI33" s="198">
        <v>15</v>
      </c>
      <c r="AJ33" s="147" t="s">
        <v>34</v>
      </c>
      <c r="AK33" s="198">
        <v>45</v>
      </c>
      <c r="AL33" s="147">
        <v>45</v>
      </c>
      <c r="AM33" s="198">
        <v>30</v>
      </c>
      <c r="AN33" s="117" t="s">
        <v>34</v>
      </c>
      <c r="AO33" s="117">
        <f>SUM(Q33:AN33)</f>
        <v>726</v>
      </c>
      <c r="AP33" s="51" t="s">
        <v>34</v>
      </c>
      <c r="AQ33" s="147" t="s">
        <v>34</v>
      </c>
      <c r="AR33" s="147" t="s">
        <v>34</v>
      </c>
      <c r="AS33" s="147" t="s">
        <v>34</v>
      </c>
      <c r="AT33" s="147" t="s">
        <v>34</v>
      </c>
      <c r="AU33" s="147" t="s">
        <v>34</v>
      </c>
      <c r="AV33" s="147" t="s">
        <v>34</v>
      </c>
      <c r="AW33" s="147" t="s">
        <v>34</v>
      </c>
      <c r="AX33" s="147" t="s">
        <v>34</v>
      </c>
      <c r="AY33" s="147" t="s">
        <v>34</v>
      </c>
      <c r="AZ33" s="147" t="s">
        <v>34</v>
      </c>
      <c r="BA33" s="147" t="s">
        <v>34</v>
      </c>
      <c r="BB33" s="147" t="s">
        <v>34</v>
      </c>
      <c r="BC33" s="147" t="s">
        <v>34</v>
      </c>
      <c r="BD33" s="147" t="s">
        <v>34</v>
      </c>
      <c r="BE33" s="147" t="s">
        <v>34</v>
      </c>
      <c r="BF33" s="147" t="s">
        <v>34</v>
      </c>
      <c r="BG33" s="147" t="s">
        <v>34</v>
      </c>
      <c r="BH33" s="147" t="s">
        <v>34</v>
      </c>
      <c r="BI33" s="147" t="s">
        <v>34</v>
      </c>
      <c r="BJ33" s="147" t="s">
        <v>34</v>
      </c>
      <c r="BK33" s="147" t="s">
        <v>34</v>
      </c>
      <c r="BL33" s="147" t="s">
        <v>34</v>
      </c>
      <c r="BM33" s="117" t="s">
        <v>34</v>
      </c>
      <c r="BN33" s="117">
        <f t="shared" si="10"/>
        <v>0</v>
      </c>
      <c r="BO33" s="117">
        <f>SUM(AO33+BN33)</f>
        <v>726</v>
      </c>
      <c r="BP33" s="75"/>
      <c r="BQ33" s="75"/>
      <c r="BR33" s="75"/>
      <c r="BS33" s="75"/>
      <c r="BT33" s="75"/>
      <c r="BU33" s="75"/>
    </row>
    <row r="34" spans="1:73" x14ac:dyDescent="0.25">
      <c r="A34" s="30" t="s">
        <v>140</v>
      </c>
      <c r="B34" s="274" t="s">
        <v>357</v>
      </c>
      <c r="C34" s="275" t="s">
        <v>949</v>
      </c>
      <c r="D34" s="151"/>
      <c r="E34" s="101"/>
      <c r="F34" s="115"/>
      <c r="G34" s="101"/>
      <c r="H34" s="127"/>
      <c r="I34" s="101">
        <v>1</v>
      </c>
      <c r="J34" s="151"/>
      <c r="K34" s="101"/>
      <c r="L34" s="72">
        <v>4</v>
      </c>
      <c r="M34" s="151">
        <v>0</v>
      </c>
      <c r="N34" s="101">
        <v>0</v>
      </c>
      <c r="O34" s="151">
        <v>0</v>
      </c>
      <c r="P34" s="101">
        <v>6</v>
      </c>
      <c r="Q34" s="151" t="s">
        <v>34</v>
      </c>
      <c r="R34" s="147" t="s">
        <v>34</v>
      </c>
      <c r="S34" s="147" t="s">
        <v>34</v>
      </c>
      <c r="T34" s="147" t="s">
        <v>34</v>
      </c>
      <c r="U34" s="147" t="s">
        <v>34</v>
      </c>
      <c r="V34" s="147" t="s">
        <v>34</v>
      </c>
      <c r="W34" s="147" t="s">
        <v>34</v>
      </c>
      <c r="X34" s="147" t="s">
        <v>34</v>
      </c>
      <c r="Y34" s="147" t="s">
        <v>34</v>
      </c>
      <c r="Z34" s="147" t="s">
        <v>34</v>
      </c>
      <c r="AA34" s="147" t="s">
        <v>34</v>
      </c>
      <c r="AB34" s="147" t="s">
        <v>34</v>
      </c>
      <c r="AC34" s="147" t="s">
        <v>34</v>
      </c>
      <c r="AD34" s="147" t="s">
        <v>34</v>
      </c>
      <c r="AE34" s="147" t="s">
        <v>34</v>
      </c>
      <c r="AF34" s="147" t="s">
        <v>34</v>
      </c>
      <c r="AG34" s="147" t="s">
        <v>34</v>
      </c>
      <c r="AH34" s="147" t="s">
        <v>34</v>
      </c>
      <c r="AI34" s="147" t="s">
        <v>34</v>
      </c>
      <c r="AJ34" s="147" t="s">
        <v>34</v>
      </c>
      <c r="AK34" s="147" t="s">
        <v>34</v>
      </c>
      <c r="AL34" s="147" t="s">
        <v>34</v>
      </c>
      <c r="AM34" s="147" t="s">
        <v>34</v>
      </c>
      <c r="AN34" s="117" t="s">
        <v>34</v>
      </c>
      <c r="AO34" s="117">
        <f t="shared" ref="AO34:AO35" si="11">SUM(Q34:AN34)</f>
        <v>0</v>
      </c>
      <c r="AP34" s="51" t="s">
        <v>34</v>
      </c>
      <c r="AQ34" s="147" t="s">
        <v>34</v>
      </c>
      <c r="AR34" s="147" t="s">
        <v>34</v>
      </c>
      <c r="AS34" s="147" t="s">
        <v>34</v>
      </c>
      <c r="AT34" s="147" t="s">
        <v>34</v>
      </c>
      <c r="AU34" s="147" t="s">
        <v>34</v>
      </c>
      <c r="AV34" s="147" t="s">
        <v>34</v>
      </c>
      <c r="AW34" s="147" t="s">
        <v>34</v>
      </c>
      <c r="AX34" s="147" t="s">
        <v>34</v>
      </c>
      <c r="AY34" s="198">
        <v>8</v>
      </c>
      <c r="AZ34" s="147" t="s">
        <v>34</v>
      </c>
      <c r="BA34" s="198">
        <v>0</v>
      </c>
      <c r="BB34" s="147" t="s">
        <v>34</v>
      </c>
      <c r="BC34" s="147" t="s">
        <v>34</v>
      </c>
      <c r="BD34" s="147" t="s">
        <v>34</v>
      </c>
      <c r="BE34" s="147" t="s">
        <v>34</v>
      </c>
      <c r="BF34" s="147" t="s">
        <v>34</v>
      </c>
      <c r="BG34" s="147" t="s">
        <v>34</v>
      </c>
      <c r="BH34" s="198">
        <v>4</v>
      </c>
      <c r="BI34" s="198">
        <v>18</v>
      </c>
      <c r="BJ34" s="198">
        <v>8</v>
      </c>
      <c r="BK34" s="147" t="s">
        <v>34</v>
      </c>
      <c r="BL34" s="198">
        <v>0</v>
      </c>
      <c r="BM34" s="117" t="s">
        <v>34</v>
      </c>
      <c r="BN34" s="117">
        <f t="shared" ref="BN34" si="12">SUM(AP34:BM34)</f>
        <v>38</v>
      </c>
      <c r="BO34" s="117">
        <f>BN34</f>
        <v>38</v>
      </c>
      <c r="BP34" s="75"/>
      <c r="BQ34" s="75"/>
      <c r="BR34" s="75"/>
      <c r="BS34" s="75"/>
      <c r="BT34" s="75"/>
      <c r="BU34" s="75"/>
    </row>
    <row r="35" spans="1:73" x14ac:dyDescent="0.25">
      <c r="A35" s="30" t="s">
        <v>140</v>
      </c>
      <c r="B35" s="274" t="s">
        <v>346</v>
      </c>
      <c r="C35" s="275" t="s">
        <v>386</v>
      </c>
      <c r="D35" s="151"/>
      <c r="E35" s="101">
        <v>3</v>
      </c>
      <c r="F35" s="115"/>
      <c r="G35" s="101"/>
      <c r="H35" s="127"/>
      <c r="I35" s="101">
        <v>3</v>
      </c>
      <c r="J35" s="151"/>
      <c r="K35" s="101"/>
      <c r="L35" s="72">
        <v>24</v>
      </c>
      <c r="M35" s="151">
        <v>0</v>
      </c>
      <c r="N35" s="101">
        <v>17</v>
      </c>
      <c r="O35" s="151">
        <v>0</v>
      </c>
      <c r="P35" s="101">
        <v>7</v>
      </c>
      <c r="Q35" s="151" t="s">
        <v>34</v>
      </c>
      <c r="R35" s="147" t="s">
        <v>34</v>
      </c>
      <c r="S35" s="147" t="s">
        <v>34</v>
      </c>
      <c r="T35" s="147" t="s">
        <v>34</v>
      </c>
      <c r="U35" s="147" t="s">
        <v>34</v>
      </c>
      <c r="V35" s="147" t="s">
        <v>34</v>
      </c>
      <c r="W35" s="147" t="s">
        <v>34</v>
      </c>
      <c r="X35" s="147" t="s">
        <v>34</v>
      </c>
      <c r="Y35" s="147" t="s">
        <v>34</v>
      </c>
      <c r="Z35" s="147" t="s">
        <v>34</v>
      </c>
      <c r="AA35" s="147" t="s">
        <v>34</v>
      </c>
      <c r="AB35" s="147" t="s">
        <v>34</v>
      </c>
      <c r="AC35" s="147" t="s">
        <v>34</v>
      </c>
      <c r="AD35" s="147" t="s">
        <v>34</v>
      </c>
      <c r="AE35" s="147" t="s">
        <v>34</v>
      </c>
      <c r="AF35" s="147" t="s">
        <v>34</v>
      </c>
      <c r="AG35" s="147" t="s">
        <v>34</v>
      </c>
      <c r="AH35" s="147" t="s">
        <v>34</v>
      </c>
      <c r="AI35" s="147" t="s">
        <v>34</v>
      </c>
      <c r="AJ35" s="147" t="s">
        <v>34</v>
      </c>
      <c r="AK35" s="147" t="s">
        <v>34</v>
      </c>
      <c r="AL35" s="147" t="s">
        <v>34</v>
      </c>
      <c r="AM35" s="147" t="s">
        <v>34</v>
      </c>
      <c r="AN35" s="117" t="s">
        <v>34</v>
      </c>
      <c r="AO35" s="117">
        <f t="shared" si="11"/>
        <v>0</v>
      </c>
      <c r="AP35" s="51">
        <v>90</v>
      </c>
      <c r="AQ35" s="147">
        <v>90</v>
      </c>
      <c r="AR35" s="147">
        <v>90</v>
      </c>
      <c r="AS35" s="147">
        <v>75</v>
      </c>
      <c r="AT35" s="147">
        <v>90</v>
      </c>
      <c r="AU35" s="147">
        <v>70</v>
      </c>
      <c r="AV35" s="147">
        <v>58</v>
      </c>
      <c r="AW35" s="147">
        <v>75</v>
      </c>
      <c r="AX35" s="147">
        <v>77</v>
      </c>
      <c r="AY35" s="147">
        <v>90</v>
      </c>
      <c r="AZ35" s="147">
        <v>72</v>
      </c>
      <c r="BA35" s="147">
        <v>68</v>
      </c>
      <c r="BB35" s="147">
        <v>90</v>
      </c>
      <c r="BC35" s="147">
        <v>90</v>
      </c>
      <c r="BD35" s="147">
        <v>75</v>
      </c>
      <c r="BE35" s="198">
        <v>32</v>
      </c>
      <c r="BF35" s="198">
        <v>38</v>
      </c>
      <c r="BG35" s="198">
        <v>27</v>
      </c>
      <c r="BH35" s="147">
        <v>72</v>
      </c>
      <c r="BI35" s="147">
        <v>72</v>
      </c>
      <c r="BJ35" s="198">
        <v>24</v>
      </c>
      <c r="BK35" s="198">
        <v>9</v>
      </c>
      <c r="BL35" s="198">
        <v>45</v>
      </c>
      <c r="BM35" s="288">
        <v>10</v>
      </c>
      <c r="BN35" s="117">
        <f t="shared" si="10"/>
        <v>1529</v>
      </c>
      <c r="BO35" s="117">
        <f>BN35</f>
        <v>1529</v>
      </c>
      <c r="BP35" s="75"/>
      <c r="BQ35" s="75"/>
      <c r="BR35" s="75"/>
      <c r="BS35" s="75"/>
      <c r="BT35" s="75"/>
      <c r="BU35" s="75"/>
    </row>
    <row r="36" spans="1:73" x14ac:dyDescent="0.25">
      <c r="A36" s="30" t="s">
        <v>140</v>
      </c>
      <c r="B36" s="274" t="s">
        <v>358</v>
      </c>
      <c r="C36" s="275" t="s">
        <v>21</v>
      </c>
      <c r="D36" s="151"/>
      <c r="E36" s="101"/>
      <c r="F36" s="115"/>
      <c r="G36" s="101"/>
      <c r="H36" s="127"/>
      <c r="I36" s="101"/>
      <c r="J36" s="151"/>
      <c r="K36" s="101"/>
      <c r="L36" s="72">
        <v>12</v>
      </c>
      <c r="M36" s="151">
        <v>1</v>
      </c>
      <c r="N36" s="101">
        <v>0</v>
      </c>
      <c r="O36" s="151">
        <v>7</v>
      </c>
      <c r="P36" s="101">
        <v>6</v>
      </c>
      <c r="Q36" s="151" t="s">
        <v>34</v>
      </c>
      <c r="R36" s="147" t="s">
        <v>34</v>
      </c>
      <c r="S36" s="147" t="s">
        <v>34</v>
      </c>
      <c r="T36" s="147" t="s">
        <v>34</v>
      </c>
      <c r="U36" s="147" t="s">
        <v>34</v>
      </c>
      <c r="V36" s="198">
        <v>8</v>
      </c>
      <c r="W36" s="198">
        <v>21</v>
      </c>
      <c r="X36" s="147" t="s">
        <v>34</v>
      </c>
      <c r="Y36" s="147" t="s">
        <v>34</v>
      </c>
      <c r="Z36" s="147" t="s">
        <v>34</v>
      </c>
      <c r="AA36" s="147" t="s">
        <v>34</v>
      </c>
      <c r="AB36" s="147" t="s">
        <v>34</v>
      </c>
      <c r="AC36" s="147" t="s">
        <v>34</v>
      </c>
      <c r="AD36" s="147" t="s">
        <v>34</v>
      </c>
      <c r="AE36" s="147" t="s">
        <v>34</v>
      </c>
      <c r="AF36" s="147" t="s">
        <v>34</v>
      </c>
      <c r="AG36" s="147" t="s">
        <v>34</v>
      </c>
      <c r="AH36" s="198">
        <v>23</v>
      </c>
      <c r="AI36" s="147">
        <v>60</v>
      </c>
      <c r="AJ36" s="198">
        <v>1</v>
      </c>
      <c r="AK36" s="198">
        <v>16</v>
      </c>
      <c r="AL36" s="147" t="s">
        <v>34</v>
      </c>
      <c r="AM36" s="198">
        <v>15</v>
      </c>
      <c r="AN36" s="288">
        <v>18</v>
      </c>
      <c r="AO36" s="117">
        <f>SUM(Q36:AN36)</f>
        <v>162</v>
      </c>
      <c r="AP36" s="195">
        <v>0</v>
      </c>
      <c r="AQ36" s="147" t="s">
        <v>34</v>
      </c>
      <c r="AR36" s="147" t="s">
        <v>34</v>
      </c>
      <c r="AS36" s="147" t="s">
        <v>34</v>
      </c>
      <c r="AT36" s="147" t="s">
        <v>34</v>
      </c>
      <c r="AU36" s="147" t="s">
        <v>34</v>
      </c>
      <c r="AV36" s="198">
        <v>1</v>
      </c>
      <c r="AW36" s="198">
        <v>15</v>
      </c>
      <c r="AX36" s="198">
        <v>13</v>
      </c>
      <c r="AY36" s="198">
        <v>8</v>
      </c>
      <c r="AZ36" s="147" t="s">
        <v>34</v>
      </c>
      <c r="BA36" s="147" t="s">
        <v>34</v>
      </c>
      <c r="BB36" s="198">
        <v>0</v>
      </c>
      <c r="BC36" s="147" t="s">
        <v>34</v>
      </c>
      <c r="BD36" s="147" t="s">
        <v>34</v>
      </c>
      <c r="BE36" s="147" t="s">
        <v>34</v>
      </c>
      <c r="BF36" s="147" t="s">
        <v>34</v>
      </c>
      <c r="BG36" s="147" t="s">
        <v>34</v>
      </c>
      <c r="BH36" s="147" t="s">
        <v>34</v>
      </c>
      <c r="BI36" s="147" t="s">
        <v>34</v>
      </c>
      <c r="BJ36" s="147" t="s">
        <v>34</v>
      </c>
      <c r="BK36" s="147" t="s">
        <v>34</v>
      </c>
      <c r="BL36" s="147" t="s">
        <v>34</v>
      </c>
      <c r="BM36" s="117" t="s">
        <v>34</v>
      </c>
      <c r="BN36" s="117">
        <f t="shared" si="10"/>
        <v>37</v>
      </c>
      <c r="BO36" s="117">
        <f>SUM(AO36+BN36)</f>
        <v>199</v>
      </c>
      <c r="BP36" s="75"/>
      <c r="BQ36" s="75"/>
      <c r="BR36" s="75"/>
      <c r="BS36" s="75"/>
      <c r="BT36" s="75"/>
      <c r="BU36" s="75"/>
    </row>
    <row r="37" spans="1:73" x14ac:dyDescent="0.25">
      <c r="A37" s="30" t="s">
        <v>140</v>
      </c>
      <c r="B37" s="274" t="s">
        <v>359</v>
      </c>
      <c r="C37" s="275" t="s">
        <v>20</v>
      </c>
      <c r="D37" s="151">
        <v>1</v>
      </c>
      <c r="E37" s="101"/>
      <c r="F37" s="115"/>
      <c r="G37" s="101"/>
      <c r="H37" s="127"/>
      <c r="I37" s="101"/>
      <c r="J37" s="151"/>
      <c r="K37" s="101"/>
      <c r="L37" s="72">
        <v>8</v>
      </c>
      <c r="M37" s="151">
        <v>1</v>
      </c>
      <c r="N37" s="101">
        <v>0</v>
      </c>
      <c r="O37" s="151">
        <v>9</v>
      </c>
      <c r="P37" s="101">
        <v>0</v>
      </c>
      <c r="Q37" s="151" t="s">
        <v>34</v>
      </c>
      <c r="R37" s="147" t="s">
        <v>34</v>
      </c>
      <c r="S37" s="198">
        <v>24</v>
      </c>
      <c r="T37" s="198">
        <v>0</v>
      </c>
      <c r="U37" s="198">
        <v>45</v>
      </c>
      <c r="V37" s="147" t="s">
        <v>34</v>
      </c>
      <c r="W37" s="147" t="s">
        <v>34</v>
      </c>
      <c r="X37" s="198">
        <v>16</v>
      </c>
      <c r="Y37" s="147">
        <v>59</v>
      </c>
      <c r="Z37" s="147" t="s">
        <v>34</v>
      </c>
      <c r="AA37" s="147" t="s">
        <v>34</v>
      </c>
      <c r="AB37" s="147" t="s">
        <v>34</v>
      </c>
      <c r="AC37" s="198">
        <v>18</v>
      </c>
      <c r="AD37" s="147" t="s">
        <v>34</v>
      </c>
      <c r="AE37" s="198">
        <v>10</v>
      </c>
      <c r="AF37" s="147" t="s">
        <v>34</v>
      </c>
      <c r="AG37" s="198">
        <v>1</v>
      </c>
      <c r="AH37" s="198">
        <v>6</v>
      </c>
      <c r="AI37" s="198">
        <v>0</v>
      </c>
      <c r="AJ37" s="147" t="s">
        <v>34</v>
      </c>
      <c r="AK37" s="147" t="s">
        <v>34</v>
      </c>
      <c r="AL37" s="147" t="s">
        <v>34</v>
      </c>
      <c r="AM37" s="147" t="s">
        <v>34</v>
      </c>
      <c r="AN37" s="117" t="s">
        <v>34</v>
      </c>
      <c r="AO37" s="117">
        <f>SUM(Q37:AN37)</f>
        <v>179</v>
      </c>
      <c r="AP37" s="51" t="s">
        <v>34</v>
      </c>
      <c r="AQ37" s="147" t="s">
        <v>34</v>
      </c>
      <c r="AR37" s="147" t="s">
        <v>34</v>
      </c>
      <c r="AS37" s="147" t="s">
        <v>34</v>
      </c>
      <c r="AT37" s="147" t="s">
        <v>34</v>
      </c>
      <c r="AU37" s="147" t="s">
        <v>34</v>
      </c>
      <c r="AV37" s="147" t="s">
        <v>34</v>
      </c>
      <c r="AW37" s="147" t="s">
        <v>34</v>
      </c>
      <c r="AX37" s="147" t="s">
        <v>34</v>
      </c>
      <c r="AY37" s="147" t="s">
        <v>34</v>
      </c>
      <c r="AZ37" s="147" t="s">
        <v>34</v>
      </c>
      <c r="BA37" s="147" t="s">
        <v>34</v>
      </c>
      <c r="BB37" s="147" t="s">
        <v>34</v>
      </c>
      <c r="BC37" s="147" t="s">
        <v>34</v>
      </c>
      <c r="BD37" s="147" t="s">
        <v>34</v>
      </c>
      <c r="BE37" s="147" t="s">
        <v>34</v>
      </c>
      <c r="BF37" s="147" t="s">
        <v>34</v>
      </c>
      <c r="BG37" s="147" t="s">
        <v>34</v>
      </c>
      <c r="BH37" s="147" t="s">
        <v>34</v>
      </c>
      <c r="BI37" s="147" t="s">
        <v>34</v>
      </c>
      <c r="BJ37" s="147" t="s">
        <v>34</v>
      </c>
      <c r="BK37" s="147" t="s">
        <v>34</v>
      </c>
      <c r="BL37" s="147" t="s">
        <v>34</v>
      </c>
      <c r="BM37" s="117" t="s">
        <v>34</v>
      </c>
      <c r="BN37" s="117">
        <f t="shared" si="10"/>
        <v>0</v>
      </c>
      <c r="BO37" s="117">
        <f>SUM(AO37+BN37)</f>
        <v>179</v>
      </c>
      <c r="BP37" s="75"/>
      <c r="BQ37" s="75"/>
      <c r="BR37" s="75"/>
      <c r="BS37" s="75"/>
      <c r="BT37" s="75"/>
      <c r="BU37" s="75"/>
    </row>
    <row r="38" spans="1:73" x14ac:dyDescent="0.25">
      <c r="A38" s="30" t="s">
        <v>140</v>
      </c>
      <c r="B38" s="274" t="s">
        <v>351</v>
      </c>
      <c r="C38" s="275" t="s">
        <v>5</v>
      </c>
      <c r="D38" s="151">
        <v>2</v>
      </c>
      <c r="E38" s="101"/>
      <c r="F38" s="115">
        <v>1</v>
      </c>
      <c r="G38" s="101"/>
      <c r="H38" s="127">
        <v>8</v>
      </c>
      <c r="I38" s="101">
        <v>5</v>
      </c>
      <c r="J38" s="151">
        <v>1</v>
      </c>
      <c r="K38" s="101"/>
      <c r="L38" s="72">
        <v>40</v>
      </c>
      <c r="M38" s="151">
        <v>17</v>
      </c>
      <c r="N38" s="101">
        <v>5</v>
      </c>
      <c r="O38" s="151">
        <v>3</v>
      </c>
      <c r="P38" s="101">
        <v>18</v>
      </c>
      <c r="Q38" s="151">
        <v>79</v>
      </c>
      <c r="R38" s="147">
        <v>63</v>
      </c>
      <c r="S38" s="147">
        <v>73</v>
      </c>
      <c r="T38" s="147">
        <v>65</v>
      </c>
      <c r="U38" s="147">
        <v>45</v>
      </c>
      <c r="V38" s="147">
        <v>82</v>
      </c>
      <c r="W38" s="147">
        <v>89</v>
      </c>
      <c r="X38" s="147">
        <v>74</v>
      </c>
      <c r="Y38" s="198">
        <v>31</v>
      </c>
      <c r="Z38" s="147" t="s">
        <v>34</v>
      </c>
      <c r="AA38" s="147">
        <v>45</v>
      </c>
      <c r="AB38" s="198">
        <v>32</v>
      </c>
      <c r="AC38" s="147">
        <v>68</v>
      </c>
      <c r="AD38" s="147">
        <v>58</v>
      </c>
      <c r="AE38" s="198">
        <v>23</v>
      </c>
      <c r="AF38" s="147">
        <v>56</v>
      </c>
      <c r="AG38" s="147" t="s">
        <v>34</v>
      </c>
      <c r="AH38" s="147" t="s">
        <v>34</v>
      </c>
      <c r="AI38" s="147">
        <v>75</v>
      </c>
      <c r="AJ38" s="147">
        <v>59</v>
      </c>
      <c r="AK38" s="147">
        <v>45</v>
      </c>
      <c r="AL38" s="147">
        <v>75</v>
      </c>
      <c r="AM38" s="147">
        <v>75</v>
      </c>
      <c r="AN38" s="117" t="s">
        <v>34</v>
      </c>
      <c r="AO38" s="117">
        <f>SUM(Q38:AN38)</f>
        <v>1212</v>
      </c>
      <c r="AP38" s="51">
        <v>45</v>
      </c>
      <c r="AQ38" s="198">
        <v>24</v>
      </c>
      <c r="AR38" s="198">
        <v>29</v>
      </c>
      <c r="AS38" s="198">
        <v>7</v>
      </c>
      <c r="AT38" s="198">
        <v>15</v>
      </c>
      <c r="AU38" s="198">
        <v>30</v>
      </c>
      <c r="AV38" s="198">
        <v>32</v>
      </c>
      <c r="AW38" s="147">
        <v>70</v>
      </c>
      <c r="AX38" s="147">
        <v>90</v>
      </c>
      <c r="AY38" s="147">
        <v>82</v>
      </c>
      <c r="AZ38" s="198">
        <v>18</v>
      </c>
      <c r="BA38" s="198">
        <v>22</v>
      </c>
      <c r="BB38" s="198">
        <v>39</v>
      </c>
      <c r="BC38" s="198">
        <v>13</v>
      </c>
      <c r="BD38" s="198">
        <v>15</v>
      </c>
      <c r="BE38" s="198">
        <v>0</v>
      </c>
      <c r="BF38" s="198">
        <v>23</v>
      </c>
      <c r="BG38" s="198">
        <v>19</v>
      </c>
      <c r="BH38" s="147" t="s">
        <v>34</v>
      </c>
      <c r="BI38" s="147">
        <v>45</v>
      </c>
      <c r="BJ38" s="198">
        <v>0</v>
      </c>
      <c r="BK38" s="198">
        <v>0</v>
      </c>
      <c r="BL38" s="198">
        <v>45</v>
      </c>
      <c r="BM38" s="288">
        <v>25</v>
      </c>
      <c r="BN38" s="117">
        <f t="shared" si="10"/>
        <v>688</v>
      </c>
      <c r="BO38" s="117">
        <f>SUM(AO38+BN38)</f>
        <v>1900</v>
      </c>
      <c r="BP38" s="75"/>
      <c r="BQ38" s="75"/>
      <c r="BR38" s="75"/>
      <c r="BS38" s="75"/>
      <c r="BT38" s="75"/>
      <c r="BU38" s="75"/>
    </row>
    <row r="39" spans="1:73" x14ac:dyDescent="0.25">
      <c r="A39" s="30" t="s">
        <v>140</v>
      </c>
      <c r="B39" s="274" t="s">
        <v>360</v>
      </c>
      <c r="C39" s="275" t="s">
        <v>14</v>
      </c>
      <c r="D39" s="151"/>
      <c r="E39" s="101"/>
      <c r="F39" s="115"/>
      <c r="G39" s="101"/>
      <c r="H39" s="127">
        <v>1</v>
      </c>
      <c r="I39" s="101"/>
      <c r="J39" s="151"/>
      <c r="K39" s="101"/>
      <c r="L39" s="72">
        <v>7</v>
      </c>
      <c r="M39" s="151">
        <v>1</v>
      </c>
      <c r="N39" s="101">
        <v>0</v>
      </c>
      <c r="O39" s="151">
        <v>8</v>
      </c>
      <c r="P39" s="101">
        <v>0</v>
      </c>
      <c r="Q39" s="281">
        <v>2</v>
      </c>
      <c r="R39" s="198">
        <v>0</v>
      </c>
      <c r="S39" s="147" t="s">
        <v>34</v>
      </c>
      <c r="T39" s="147" t="s">
        <v>34</v>
      </c>
      <c r="U39" s="147" t="s">
        <v>34</v>
      </c>
      <c r="V39" s="147" t="s">
        <v>34</v>
      </c>
      <c r="W39" s="198">
        <v>1</v>
      </c>
      <c r="X39" s="198">
        <v>8</v>
      </c>
      <c r="Y39" s="198">
        <v>14</v>
      </c>
      <c r="Z39" s="198">
        <v>0</v>
      </c>
      <c r="AA39" s="147" t="s">
        <v>34</v>
      </c>
      <c r="AB39" s="147">
        <v>58</v>
      </c>
      <c r="AC39" s="198">
        <v>4</v>
      </c>
      <c r="AD39" s="198">
        <v>32</v>
      </c>
      <c r="AE39" s="147" t="s">
        <v>34</v>
      </c>
      <c r="AF39" s="147" t="s">
        <v>34</v>
      </c>
      <c r="AG39" s="147" t="s">
        <v>34</v>
      </c>
      <c r="AH39" s="147" t="s">
        <v>34</v>
      </c>
      <c r="AI39" s="147" t="s">
        <v>34</v>
      </c>
      <c r="AJ39" s="147" t="s">
        <v>34</v>
      </c>
      <c r="AK39" s="147" t="s">
        <v>34</v>
      </c>
      <c r="AL39" s="147" t="s">
        <v>34</v>
      </c>
      <c r="AM39" s="147" t="s">
        <v>34</v>
      </c>
      <c r="AN39" s="101" t="s">
        <v>34</v>
      </c>
      <c r="AO39" s="117">
        <f>SUM(Q39:AN39)</f>
        <v>119</v>
      </c>
      <c r="AP39" s="51" t="s">
        <v>34</v>
      </c>
      <c r="AQ39" s="147" t="s">
        <v>34</v>
      </c>
      <c r="AR39" s="147" t="s">
        <v>34</v>
      </c>
      <c r="AS39" s="147" t="s">
        <v>34</v>
      </c>
      <c r="AT39" s="147" t="s">
        <v>34</v>
      </c>
      <c r="AU39" s="147" t="s">
        <v>34</v>
      </c>
      <c r="AV39" s="147" t="s">
        <v>34</v>
      </c>
      <c r="AW39" s="147" t="s">
        <v>34</v>
      </c>
      <c r="AX39" s="147" t="s">
        <v>34</v>
      </c>
      <c r="AY39" s="147" t="s">
        <v>34</v>
      </c>
      <c r="AZ39" s="147" t="s">
        <v>34</v>
      </c>
      <c r="BA39" s="147" t="s">
        <v>34</v>
      </c>
      <c r="BB39" s="147" t="s">
        <v>34</v>
      </c>
      <c r="BC39" s="147" t="s">
        <v>34</v>
      </c>
      <c r="BD39" s="147" t="s">
        <v>34</v>
      </c>
      <c r="BE39" s="147" t="s">
        <v>34</v>
      </c>
      <c r="BF39" s="147" t="s">
        <v>34</v>
      </c>
      <c r="BG39" s="147" t="s">
        <v>34</v>
      </c>
      <c r="BH39" s="147" t="s">
        <v>34</v>
      </c>
      <c r="BI39" s="147" t="s">
        <v>34</v>
      </c>
      <c r="BJ39" s="147" t="s">
        <v>34</v>
      </c>
      <c r="BK39" s="147" t="s">
        <v>34</v>
      </c>
      <c r="BL39" s="147" t="s">
        <v>34</v>
      </c>
      <c r="BM39" s="101" t="s">
        <v>34</v>
      </c>
      <c r="BN39" s="117">
        <f t="shared" si="10"/>
        <v>0</v>
      </c>
      <c r="BO39" s="117">
        <f>SUM(AO39+BN39)</f>
        <v>119</v>
      </c>
      <c r="BP39" s="75"/>
      <c r="BQ39" s="75"/>
      <c r="BR39" s="75"/>
      <c r="BS39" s="75"/>
      <c r="BT39" s="75"/>
      <c r="BU39" s="75"/>
    </row>
    <row r="40" spans="1:73" ht="15.75" thickBot="1" x14ac:dyDescent="0.3">
      <c r="A40" s="31" t="s">
        <v>140</v>
      </c>
      <c r="B40" s="283" t="s">
        <v>361</v>
      </c>
      <c r="C40" s="284" t="s">
        <v>13</v>
      </c>
      <c r="D40" s="212">
        <v>2</v>
      </c>
      <c r="E40" s="122"/>
      <c r="F40" s="123"/>
      <c r="G40" s="122"/>
      <c r="H40" s="121">
        <v>6</v>
      </c>
      <c r="I40" s="122"/>
      <c r="J40" s="212"/>
      <c r="K40" s="122"/>
      <c r="L40" s="73">
        <v>26</v>
      </c>
      <c r="M40" s="212">
        <v>14</v>
      </c>
      <c r="N40" s="122">
        <v>0</v>
      </c>
      <c r="O40" s="212">
        <v>9</v>
      </c>
      <c r="P40" s="122">
        <v>3</v>
      </c>
      <c r="Q40" s="290">
        <v>11</v>
      </c>
      <c r="R40" s="291">
        <v>27</v>
      </c>
      <c r="S40" s="285">
        <v>66</v>
      </c>
      <c r="T40" s="285">
        <v>90</v>
      </c>
      <c r="U40" s="285">
        <v>90</v>
      </c>
      <c r="V40" s="285">
        <v>70</v>
      </c>
      <c r="W40" s="285">
        <v>69</v>
      </c>
      <c r="X40" s="285">
        <v>82</v>
      </c>
      <c r="Y40" s="285">
        <v>76</v>
      </c>
      <c r="Z40" s="292">
        <v>66</v>
      </c>
      <c r="AA40" s="292">
        <v>84</v>
      </c>
      <c r="AB40" s="291">
        <v>23</v>
      </c>
      <c r="AC40" s="124" t="s">
        <v>34</v>
      </c>
      <c r="AD40" s="291">
        <v>32</v>
      </c>
      <c r="AE40" s="285">
        <v>67</v>
      </c>
      <c r="AF40" s="291">
        <v>29</v>
      </c>
      <c r="AG40" s="291">
        <v>45</v>
      </c>
      <c r="AH40" s="285">
        <v>90</v>
      </c>
      <c r="AI40" s="291">
        <v>30</v>
      </c>
      <c r="AJ40" s="291">
        <v>30</v>
      </c>
      <c r="AK40" s="285">
        <v>74</v>
      </c>
      <c r="AL40" s="290">
        <v>45</v>
      </c>
      <c r="AM40" s="124">
        <v>75</v>
      </c>
      <c r="AN40" s="122">
        <v>90</v>
      </c>
      <c r="AO40" s="293">
        <f>SUM(Q40:AN40)</f>
        <v>1361</v>
      </c>
      <c r="AP40" s="294">
        <v>39</v>
      </c>
      <c r="AQ40" s="291">
        <v>6</v>
      </c>
      <c r="AR40" s="291">
        <v>7</v>
      </c>
      <c r="AS40" s="285" t="s">
        <v>34</v>
      </c>
      <c r="AT40" s="285" t="s">
        <v>34</v>
      </c>
      <c r="AU40" s="285" t="s">
        <v>34</v>
      </c>
      <c r="AV40" s="285" t="s">
        <v>34</v>
      </c>
      <c r="AW40" s="285" t="s">
        <v>34</v>
      </c>
      <c r="AX40" s="285" t="s">
        <v>34</v>
      </c>
      <c r="AY40" s="285" t="s">
        <v>34</v>
      </c>
      <c r="AZ40" s="285" t="s">
        <v>34</v>
      </c>
      <c r="BA40" s="285" t="s">
        <v>34</v>
      </c>
      <c r="BB40" s="285" t="s">
        <v>34</v>
      </c>
      <c r="BC40" s="285" t="s">
        <v>34</v>
      </c>
      <c r="BD40" s="285" t="s">
        <v>34</v>
      </c>
      <c r="BE40" s="285" t="s">
        <v>34</v>
      </c>
      <c r="BF40" s="147" t="s">
        <v>34</v>
      </c>
      <c r="BG40" s="147" t="s">
        <v>34</v>
      </c>
      <c r="BH40" s="147" t="s">
        <v>34</v>
      </c>
      <c r="BI40" s="285" t="s">
        <v>34</v>
      </c>
      <c r="BJ40" s="147" t="s">
        <v>34</v>
      </c>
      <c r="BK40" s="147" t="s">
        <v>34</v>
      </c>
      <c r="BL40" s="124" t="s">
        <v>34</v>
      </c>
      <c r="BM40" s="122" t="s">
        <v>34</v>
      </c>
      <c r="BN40" s="293">
        <f t="shared" si="10"/>
        <v>52</v>
      </c>
      <c r="BO40" s="293">
        <f>SUM(AO40+BN40)</f>
        <v>1413</v>
      </c>
      <c r="BP40" s="75"/>
      <c r="BQ40" s="75"/>
      <c r="BR40" s="75"/>
      <c r="BS40" s="75"/>
      <c r="BT40" s="75"/>
      <c r="BU40" s="75"/>
    </row>
    <row r="41" spans="1:73" x14ac:dyDescent="0.25">
      <c r="A41" s="75"/>
      <c r="B41" s="295"/>
      <c r="C41" s="296" t="s">
        <v>35</v>
      </c>
      <c r="D41" s="391">
        <v>1</v>
      </c>
      <c r="E41" s="392"/>
      <c r="F41" s="395" t="s">
        <v>171</v>
      </c>
      <c r="G41" s="392"/>
      <c r="H41" s="395" t="s">
        <v>171</v>
      </c>
      <c r="I41" s="392"/>
      <c r="J41" s="395" t="s">
        <v>171</v>
      </c>
      <c r="K41" s="392"/>
      <c r="L41" s="298" t="s">
        <v>364</v>
      </c>
      <c r="M41" s="395" t="s">
        <v>171</v>
      </c>
      <c r="N41" s="402"/>
      <c r="O41" s="395" t="s">
        <v>171</v>
      </c>
      <c r="P41" s="392"/>
      <c r="Q41" s="299" t="s">
        <v>171</v>
      </c>
      <c r="R41" s="299" t="s">
        <v>171</v>
      </c>
      <c r="S41" s="299" t="s">
        <v>171</v>
      </c>
      <c r="T41" s="299" t="s">
        <v>171</v>
      </c>
      <c r="U41" s="299" t="s">
        <v>171</v>
      </c>
      <c r="V41" s="299" t="s">
        <v>171</v>
      </c>
      <c r="W41" s="299" t="s">
        <v>171</v>
      </c>
      <c r="X41" s="299" t="s">
        <v>171</v>
      </c>
      <c r="Y41" s="299" t="s">
        <v>171</v>
      </c>
      <c r="Z41" s="299" t="s">
        <v>171</v>
      </c>
      <c r="AA41" s="299" t="s">
        <v>171</v>
      </c>
      <c r="AB41" s="299" t="s">
        <v>171</v>
      </c>
      <c r="AC41" s="299" t="s">
        <v>171</v>
      </c>
      <c r="AD41" s="299" t="s">
        <v>171</v>
      </c>
      <c r="AE41" s="299" t="s">
        <v>171</v>
      </c>
      <c r="AF41" s="299" t="s">
        <v>171</v>
      </c>
      <c r="AG41" s="299" t="s">
        <v>171</v>
      </c>
      <c r="AH41" s="299" t="s">
        <v>171</v>
      </c>
      <c r="AI41" s="299" t="s">
        <v>171</v>
      </c>
      <c r="AJ41" s="299" t="s">
        <v>171</v>
      </c>
      <c r="AK41" s="299" t="s">
        <v>171</v>
      </c>
      <c r="AL41" s="299" t="s">
        <v>171</v>
      </c>
      <c r="AM41" s="299" t="s">
        <v>171</v>
      </c>
      <c r="AN41" s="299" t="s">
        <v>171</v>
      </c>
      <c r="AO41" s="299" t="s">
        <v>171</v>
      </c>
      <c r="AP41" s="299" t="s">
        <v>171</v>
      </c>
      <c r="AQ41" s="299" t="s">
        <v>171</v>
      </c>
      <c r="AR41" s="299" t="s">
        <v>171</v>
      </c>
      <c r="AS41" s="299" t="s">
        <v>171</v>
      </c>
      <c r="AT41" s="299" t="s">
        <v>171</v>
      </c>
      <c r="AU41" s="299" t="s">
        <v>171</v>
      </c>
      <c r="AV41" s="299" t="s">
        <v>171</v>
      </c>
      <c r="AW41" s="299" t="s">
        <v>171</v>
      </c>
      <c r="AX41" s="299" t="s">
        <v>171</v>
      </c>
      <c r="AY41" s="299" t="s">
        <v>171</v>
      </c>
      <c r="AZ41" s="299" t="s">
        <v>171</v>
      </c>
      <c r="BA41" s="299" t="s">
        <v>171</v>
      </c>
      <c r="BB41" s="299" t="s">
        <v>171</v>
      </c>
      <c r="BC41" s="299" t="s">
        <v>171</v>
      </c>
      <c r="BD41" s="299" t="s">
        <v>171</v>
      </c>
      <c r="BE41" s="299" t="s">
        <v>171</v>
      </c>
      <c r="BF41" s="299" t="s">
        <v>171</v>
      </c>
      <c r="BG41" s="299" t="s">
        <v>171</v>
      </c>
      <c r="BH41" s="299" t="s">
        <v>171</v>
      </c>
      <c r="BI41" s="299" t="s">
        <v>171</v>
      </c>
      <c r="BJ41" s="299" t="s">
        <v>171</v>
      </c>
      <c r="BK41" s="299" t="s">
        <v>171</v>
      </c>
      <c r="BL41" s="299" t="s">
        <v>171</v>
      </c>
      <c r="BM41" s="299" t="s">
        <v>171</v>
      </c>
      <c r="BN41" s="299" t="s">
        <v>171</v>
      </c>
      <c r="BO41" s="299" t="s">
        <v>171</v>
      </c>
      <c r="BP41" s="75"/>
      <c r="BQ41" s="75"/>
      <c r="BR41" s="75"/>
      <c r="BS41" s="75"/>
      <c r="BT41" s="75"/>
      <c r="BU41" s="75"/>
    </row>
    <row r="42" spans="1:73" ht="15.75" thickBot="1" x14ac:dyDescent="0.3">
      <c r="A42" s="75"/>
      <c r="B42" s="295"/>
      <c r="C42" s="300" t="s">
        <v>172</v>
      </c>
      <c r="D42" s="212">
        <f t="shared" ref="D42" si="13">SUM(D8:D41)</f>
        <v>20</v>
      </c>
      <c r="E42" s="124">
        <f>SUM(E8:E40)</f>
        <v>21</v>
      </c>
      <c r="F42" s="123">
        <f t="shared" ref="F42:K42" si="14">SUM(F4:F40)</f>
        <v>7</v>
      </c>
      <c r="G42" s="122">
        <f t="shared" si="14"/>
        <v>0</v>
      </c>
      <c r="H42" s="123">
        <f t="shared" si="14"/>
        <v>77</v>
      </c>
      <c r="I42" s="122">
        <f t="shared" si="14"/>
        <v>70</v>
      </c>
      <c r="J42" s="123">
        <f t="shared" si="14"/>
        <v>12</v>
      </c>
      <c r="K42" s="122">
        <f t="shared" si="14"/>
        <v>4</v>
      </c>
      <c r="L42" s="301" t="s">
        <v>364</v>
      </c>
      <c r="M42" s="399" t="s">
        <v>171</v>
      </c>
      <c r="N42" s="400"/>
      <c r="O42" s="399" t="s">
        <v>171</v>
      </c>
      <c r="P42" s="401"/>
      <c r="Q42" s="301" t="s">
        <v>171</v>
      </c>
      <c r="R42" s="301" t="s">
        <v>171</v>
      </c>
      <c r="S42" s="301" t="s">
        <v>171</v>
      </c>
      <c r="T42" s="301" t="s">
        <v>171</v>
      </c>
      <c r="U42" s="301" t="s">
        <v>171</v>
      </c>
      <c r="V42" s="301" t="s">
        <v>171</v>
      </c>
      <c r="W42" s="301" t="s">
        <v>171</v>
      </c>
      <c r="X42" s="301" t="s">
        <v>171</v>
      </c>
      <c r="Y42" s="301" t="s">
        <v>171</v>
      </c>
      <c r="Z42" s="301" t="s">
        <v>171</v>
      </c>
      <c r="AA42" s="301" t="s">
        <v>171</v>
      </c>
      <c r="AB42" s="301" t="s">
        <v>171</v>
      </c>
      <c r="AC42" s="301" t="s">
        <v>171</v>
      </c>
      <c r="AD42" s="301" t="s">
        <v>171</v>
      </c>
      <c r="AE42" s="301" t="s">
        <v>171</v>
      </c>
      <c r="AF42" s="301" t="s">
        <v>171</v>
      </c>
      <c r="AG42" s="301" t="s">
        <v>171</v>
      </c>
      <c r="AH42" s="301" t="s">
        <v>171</v>
      </c>
      <c r="AI42" s="301" t="s">
        <v>171</v>
      </c>
      <c r="AJ42" s="301" t="s">
        <v>171</v>
      </c>
      <c r="AK42" s="301" t="s">
        <v>171</v>
      </c>
      <c r="AL42" s="301" t="s">
        <v>171</v>
      </c>
      <c r="AM42" s="301" t="s">
        <v>171</v>
      </c>
      <c r="AN42" s="301" t="s">
        <v>171</v>
      </c>
      <c r="AO42" s="301" t="s">
        <v>171</v>
      </c>
      <c r="AP42" s="301" t="s">
        <v>171</v>
      </c>
      <c r="AQ42" s="301" t="s">
        <v>171</v>
      </c>
      <c r="AR42" s="301" t="s">
        <v>171</v>
      </c>
      <c r="AS42" s="301" t="s">
        <v>171</v>
      </c>
      <c r="AT42" s="301" t="s">
        <v>171</v>
      </c>
      <c r="AU42" s="301" t="s">
        <v>171</v>
      </c>
      <c r="AV42" s="301" t="s">
        <v>171</v>
      </c>
      <c r="AW42" s="301" t="s">
        <v>171</v>
      </c>
      <c r="AX42" s="301" t="s">
        <v>171</v>
      </c>
      <c r="AY42" s="301" t="s">
        <v>171</v>
      </c>
      <c r="AZ42" s="301" t="s">
        <v>171</v>
      </c>
      <c r="BA42" s="301" t="s">
        <v>171</v>
      </c>
      <c r="BB42" s="301" t="s">
        <v>171</v>
      </c>
      <c r="BC42" s="301" t="s">
        <v>171</v>
      </c>
      <c r="BD42" s="301" t="s">
        <v>171</v>
      </c>
      <c r="BE42" s="301" t="s">
        <v>171</v>
      </c>
      <c r="BF42" s="301" t="s">
        <v>171</v>
      </c>
      <c r="BG42" s="301" t="s">
        <v>171</v>
      </c>
      <c r="BH42" s="301" t="s">
        <v>171</v>
      </c>
      <c r="BI42" s="301" t="s">
        <v>171</v>
      </c>
      <c r="BJ42" s="301" t="s">
        <v>171</v>
      </c>
      <c r="BK42" s="301" t="s">
        <v>171</v>
      </c>
      <c r="BL42" s="301" t="s">
        <v>171</v>
      </c>
      <c r="BM42" s="301" t="s">
        <v>171</v>
      </c>
      <c r="BN42" s="301" t="s">
        <v>171</v>
      </c>
      <c r="BO42" s="301" t="s">
        <v>171</v>
      </c>
      <c r="BP42" s="75"/>
      <c r="BQ42" s="75"/>
      <c r="BR42" s="75"/>
      <c r="BS42" s="75"/>
      <c r="BT42" s="75"/>
      <c r="BU42" s="75"/>
    </row>
    <row r="43" spans="1:73" ht="15.75" thickBot="1" x14ac:dyDescent="0.3">
      <c r="A43" s="75"/>
      <c r="B43" s="295"/>
      <c r="C43" s="303" t="s">
        <v>173</v>
      </c>
      <c r="D43" s="393">
        <f>D42+E42</f>
        <v>41</v>
      </c>
      <c r="E43" s="394"/>
      <c r="F43" s="393">
        <f>F42+G42</f>
        <v>7</v>
      </c>
      <c r="G43" s="394"/>
      <c r="H43" s="393">
        <f>H42+I42</f>
        <v>147</v>
      </c>
      <c r="I43" s="394"/>
      <c r="J43" s="393">
        <f>J42+K42</f>
        <v>16</v>
      </c>
      <c r="K43" s="394"/>
      <c r="L43" s="305" t="s">
        <v>364</v>
      </c>
      <c r="M43" s="396" t="s">
        <v>171</v>
      </c>
      <c r="N43" s="397"/>
      <c r="O43" s="396" t="s">
        <v>171</v>
      </c>
      <c r="P43" s="398"/>
      <c r="Q43" s="305" t="s">
        <v>171</v>
      </c>
      <c r="R43" s="305" t="s">
        <v>171</v>
      </c>
      <c r="S43" s="305" t="s">
        <v>171</v>
      </c>
      <c r="T43" s="305" t="s">
        <v>171</v>
      </c>
      <c r="U43" s="305" t="s">
        <v>171</v>
      </c>
      <c r="V43" s="305" t="s">
        <v>171</v>
      </c>
      <c r="W43" s="305" t="s">
        <v>171</v>
      </c>
      <c r="X43" s="305" t="s">
        <v>171</v>
      </c>
      <c r="Y43" s="305" t="s">
        <v>171</v>
      </c>
      <c r="Z43" s="305" t="s">
        <v>171</v>
      </c>
      <c r="AA43" s="305" t="s">
        <v>171</v>
      </c>
      <c r="AB43" s="305" t="s">
        <v>171</v>
      </c>
      <c r="AC43" s="305" t="s">
        <v>171</v>
      </c>
      <c r="AD43" s="305" t="s">
        <v>171</v>
      </c>
      <c r="AE43" s="305" t="s">
        <v>171</v>
      </c>
      <c r="AF43" s="305" t="s">
        <v>171</v>
      </c>
      <c r="AG43" s="305" t="s">
        <v>171</v>
      </c>
      <c r="AH43" s="305" t="s">
        <v>171</v>
      </c>
      <c r="AI43" s="305" t="s">
        <v>171</v>
      </c>
      <c r="AJ43" s="305" t="s">
        <v>171</v>
      </c>
      <c r="AK43" s="305" t="s">
        <v>171</v>
      </c>
      <c r="AL43" s="305" t="s">
        <v>171</v>
      </c>
      <c r="AM43" s="305" t="s">
        <v>171</v>
      </c>
      <c r="AN43" s="305" t="s">
        <v>171</v>
      </c>
      <c r="AO43" s="305" t="s">
        <v>171</v>
      </c>
      <c r="AP43" s="305" t="s">
        <v>171</v>
      </c>
      <c r="AQ43" s="305" t="s">
        <v>171</v>
      </c>
      <c r="AR43" s="305" t="s">
        <v>171</v>
      </c>
      <c r="AS43" s="305" t="s">
        <v>171</v>
      </c>
      <c r="AT43" s="305" t="s">
        <v>171</v>
      </c>
      <c r="AU43" s="305" t="s">
        <v>171</v>
      </c>
      <c r="AV43" s="305" t="s">
        <v>171</v>
      </c>
      <c r="AW43" s="305" t="s">
        <v>171</v>
      </c>
      <c r="AX43" s="305" t="s">
        <v>171</v>
      </c>
      <c r="AY43" s="305" t="s">
        <v>171</v>
      </c>
      <c r="AZ43" s="305" t="s">
        <v>171</v>
      </c>
      <c r="BA43" s="305" t="s">
        <v>171</v>
      </c>
      <c r="BB43" s="305" t="s">
        <v>171</v>
      </c>
      <c r="BC43" s="305" t="s">
        <v>171</v>
      </c>
      <c r="BD43" s="305" t="s">
        <v>171</v>
      </c>
      <c r="BE43" s="305" t="s">
        <v>171</v>
      </c>
      <c r="BF43" s="305" t="s">
        <v>171</v>
      </c>
      <c r="BG43" s="305" t="s">
        <v>171</v>
      </c>
      <c r="BH43" s="305" t="s">
        <v>171</v>
      </c>
      <c r="BI43" s="305" t="s">
        <v>171</v>
      </c>
      <c r="BJ43" s="305" t="s">
        <v>171</v>
      </c>
      <c r="BK43" s="305" t="s">
        <v>171</v>
      </c>
      <c r="BL43" s="305" t="s">
        <v>171</v>
      </c>
      <c r="BM43" s="305" t="s">
        <v>171</v>
      </c>
      <c r="BN43" s="305" t="s">
        <v>171</v>
      </c>
      <c r="BO43" s="305" t="s">
        <v>171</v>
      </c>
      <c r="BP43" s="75"/>
      <c r="BQ43" s="75"/>
      <c r="BR43" s="75"/>
      <c r="BS43" s="75"/>
      <c r="BT43" s="75"/>
      <c r="BU43" s="75"/>
    </row>
    <row r="44" spans="1:73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</row>
  </sheetData>
  <sortState xmlns:xlrd2="http://schemas.microsoft.com/office/spreadsheetml/2017/richdata2" ref="A4:BO40">
    <sortCondition ref="A4:A40"/>
    <sortCondition ref="B4:B40"/>
  </sortState>
  <mergeCells count="77">
    <mergeCell ref="BD2:BD3"/>
    <mergeCell ref="AG2:AG3"/>
    <mergeCell ref="BG2:BG3"/>
    <mergeCell ref="AZ2:AZ3"/>
    <mergeCell ref="BA2:BA3"/>
    <mergeCell ref="BB2:BB3"/>
    <mergeCell ref="BC2:BC3"/>
    <mergeCell ref="AP2:AP3"/>
    <mergeCell ref="AQ2:AQ3"/>
    <mergeCell ref="AN2:AN3"/>
    <mergeCell ref="AO2:AO3"/>
    <mergeCell ref="AK2:AK3"/>
    <mergeCell ref="AL2:AL3"/>
    <mergeCell ref="AM2:AM3"/>
    <mergeCell ref="BJ2:BJ3"/>
    <mergeCell ref="BK2:BK3"/>
    <mergeCell ref="BE2:BE3"/>
    <mergeCell ref="BF2:BF3"/>
    <mergeCell ref="BH2:BH3"/>
    <mergeCell ref="BI2:BI3"/>
    <mergeCell ref="M43:N43"/>
    <mergeCell ref="O43:P43"/>
    <mergeCell ref="M42:N42"/>
    <mergeCell ref="O42:P42"/>
    <mergeCell ref="Q2:Q3"/>
    <mergeCell ref="M41:N41"/>
    <mergeCell ref="O41:P41"/>
    <mergeCell ref="D43:E43"/>
    <mergeCell ref="F43:G43"/>
    <mergeCell ref="J43:K43"/>
    <mergeCell ref="H43:I43"/>
    <mergeCell ref="F41:G41"/>
    <mergeCell ref="H41:I41"/>
    <mergeCell ref="J41:K41"/>
    <mergeCell ref="BO2:BO3"/>
    <mergeCell ref="D41:E41"/>
    <mergeCell ref="BL2:BL3"/>
    <mergeCell ref="BM2:BM3"/>
    <mergeCell ref="BN2:BN3"/>
    <mergeCell ref="AR2:AR3"/>
    <mergeCell ref="AS2:AS3"/>
    <mergeCell ref="AT2:AT3"/>
    <mergeCell ref="AU2:AU3"/>
    <mergeCell ref="AV2:AV3"/>
    <mergeCell ref="AW2:AW3"/>
    <mergeCell ref="AX2:AX3"/>
    <mergeCell ref="AY2:AY3"/>
    <mergeCell ref="AF2:AF3"/>
    <mergeCell ref="R2:R3"/>
    <mergeCell ref="S2:S3"/>
    <mergeCell ref="X2:X3"/>
    <mergeCell ref="Y2:Y3"/>
    <mergeCell ref="Z2:Z3"/>
    <mergeCell ref="AI2:AI3"/>
    <mergeCell ref="AJ2:AJ3"/>
    <mergeCell ref="AH2:AH3"/>
    <mergeCell ref="AA2:AA3"/>
    <mergeCell ref="AB2:AB3"/>
    <mergeCell ref="AC2:AC3"/>
    <mergeCell ref="AD2:AD3"/>
    <mergeCell ref="AE2:AE3"/>
    <mergeCell ref="U2:U3"/>
    <mergeCell ref="V2:V3"/>
    <mergeCell ref="W2:W3"/>
    <mergeCell ref="A1:P1"/>
    <mergeCell ref="H3:I3"/>
    <mergeCell ref="C2:C3"/>
    <mergeCell ref="A2:A3"/>
    <mergeCell ref="B2:B3"/>
    <mergeCell ref="D2:E2"/>
    <mergeCell ref="F2:G2"/>
    <mergeCell ref="H2:I2"/>
    <mergeCell ref="J2:K2"/>
    <mergeCell ref="M2:N2"/>
    <mergeCell ref="O2:P2"/>
    <mergeCell ref="L2:L3"/>
    <mergeCell ref="T2:T3"/>
  </mergeCells>
  <pageMargins left="0.7" right="0.7" top="0.75" bottom="0.75" header="0.3" footer="0.3"/>
  <pageSetup orientation="portrait" r:id="rId1"/>
  <ignoredErrors>
    <ignoredError sqref="D42:E42" formulaRange="1"/>
    <ignoredError sqref="BO31 BO16 BO22 BO35 BN34 AO22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50"/>
  <sheetViews>
    <sheetView zoomScaleNormal="100" workbookViewId="0">
      <pane xSplit="10" ySplit="2" topLeftCell="K18" activePane="bottomRight" state="frozen"/>
      <selection pane="topRight" activeCell="P1" sqref="P1"/>
      <selection pane="bottomLeft" activeCell="A4" sqref="A4"/>
      <selection pane="bottomRight" activeCell="A12" sqref="A12"/>
    </sheetView>
  </sheetViews>
  <sheetFormatPr baseColWidth="10" defaultRowHeight="15" x14ac:dyDescent="0.25"/>
  <cols>
    <col min="1" max="1" width="5.85546875" customWidth="1"/>
    <col min="2" max="2" width="20.42578125" customWidth="1"/>
    <col min="3" max="3" width="20.28515625" customWidth="1"/>
    <col min="4" max="4" width="9.28515625" style="1" customWidth="1"/>
    <col min="5" max="5" width="12.5703125" style="1" customWidth="1"/>
    <col min="6" max="6" width="11.85546875" style="1" customWidth="1"/>
    <col min="7" max="7" width="7.5703125" style="1" customWidth="1"/>
    <col min="8" max="8" width="6.7109375" style="1" customWidth="1"/>
    <col min="9" max="9" width="8.85546875" style="1" customWidth="1"/>
    <col min="10" max="10" width="10" style="1" customWidth="1"/>
    <col min="11" max="11" width="16.5703125" style="1" customWidth="1"/>
    <col min="12" max="12" width="16.28515625" style="1" customWidth="1"/>
    <col min="13" max="13" width="16.140625" style="1" customWidth="1"/>
    <col min="14" max="14" width="18" style="1" customWidth="1"/>
    <col min="15" max="15" width="16.7109375" style="1" customWidth="1"/>
    <col min="16" max="19" width="18.28515625" style="1" customWidth="1"/>
    <col min="20" max="21" width="16.42578125" style="1" customWidth="1"/>
    <col min="22" max="22" width="18.5703125" style="1" customWidth="1"/>
    <col min="23" max="23" width="17" style="1" customWidth="1"/>
    <col min="24" max="24" width="19.28515625" style="1" customWidth="1"/>
    <col min="25" max="25" width="17" style="1" customWidth="1"/>
    <col min="26" max="26" width="19" style="1" customWidth="1"/>
    <col min="27" max="30" width="17" style="1" customWidth="1"/>
    <col min="31" max="31" width="17.5703125" style="1" customWidth="1"/>
    <col min="32" max="37" width="17.85546875" customWidth="1"/>
    <col min="38" max="38" width="16.42578125" customWidth="1"/>
    <col min="39" max="39" width="17.85546875" customWidth="1"/>
    <col min="40" max="40" width="18.85546875" customWidth="1"/>
    <col min="41" max="41" width="17.85546875" customWidth="1"/>
    <col min="42" max="42" width="19.28515625" customWidth="1"/>
    <col min="43" max="43" width="17.85546875" customWidth="1"/>
    <col min="44" max="44" width="19.42578125" customWidth="1"/>
    <col min="45" max="46" width="17.85546875" customWidth="1"/>
    <col min="47" max="47" width="14.5703125" customWidth="1"/>
  </cols>
  <sheetData>
    <row r="1" spans="1:48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12" t="s">
        <v>446</v>
      </c>
      <c r="L1" s="12" t="s">
        <v>447</v>
      </c>
      <c r="M1" s="12" t="s">
        <v>449</v>
      </c>
      <c r="N1" s="12" t="s">
        <v>448</v>
      </c>
      <c r="O1" s="12" t="s">
        <v>451</v>
      </c>
      <c r="P1" s="12" t="s">
        <v>450</v>
      </c>
      <c r="Q1" s="12" t="s">
        <v>466</v>
      </c>
      <c r="R1" s="12" t="s">
        <v>467</v>
      </c>
      <c r="S1" s="12" t="s">
        <v>468</v>
      </c>
      <c r="T1" s="12" t="s">
        <v>469</v>
      </c>
      <c r="U1" s="12" t="s">
        <v>452</v>
      </c>
      <c r="V1" s="12" t="s">
        <v>453</v>
      </c>
      <c r="W1" s="24" t="s">
        <v>454</v>
      </c>
      <c r="X1" s="24" t="s">
        <v>455</v>
      </c>
      <c r="Y1" s="24" t="s">
        <v>456</v>
      </c>
      <c r="Z1" s="24" t="s">
        <v>457</v>
      </c>
      <c r="AA1" s="24" t="s">
        <v>458</v>
      </c>
      <c r="AB1" s="24" t="s">
        <v>459</v>
      </c>
      <c r="AC1" s="12" t="s">
        <v>461</v>
      </c>
      <c r="AD1" s="12" t="s">
        <v>462</v>
      </c>
      <c r="AE1" s="12" t="s">
        <v>463</v>
      </c>
      <c r="AF1" s="12" t="s">
        <v>519</v>
      </c>
      <c r="AG1" s="12" t="s">
        <v>464</v>
      </c>
      <c r="AH1" s="12" t="s">
        <v>465</v>
      </c>
      <c r="AI1" s="12" t="s">
        <v>470</v>
      </c>
      <c r="AJ1" s="12" t="s">
        <v>472</v>
      </c>
      <c r="AK1" s="12" t="s">
        <v>471</v>
      </c>
      <c r="AL1" s="12" t="s">
        <v>473</v>
      </c>
      <c r="AM1" s="12" t="s">
        <v>474</v>
      </c>
      <c r="AN1" s="12" t="s">
        <v>475</v>
      </c>
      <c r="AO1" s="24" t="s">
        <v>476</v>
      </c>
      <c r="AP1" s="24" t="s">
        <v>477</v>
      </c>
      <c r="AQ1" s="24" t="s">
        <v>478</v>
      </c>
      <c r="AR1" s="24" t="s">
        <v>479</v>
      </c>
      <c r="AS1" s="24" t="s">
        <v>480</v>
      </c>
      <c r="AT1" s="24" t="s">
        <v>481</v>
      </c>
      <c r="AU1" s="12" t="s">
        <v>460</v>
      </c>
    </row>
    <row r="2" spans="1:48" s="1" customFormat="1" ht="30" customHeight="1" thickBot="1" x14ac:dyDescent="0.3">
      <c r="A2" s="55" t="s">
        <v>137</v>
      </c>
      <c r="B2" s="13" t="s">
        <v>26</v>
      </c>
      <c r="C2" s="13" t="s">
        <v>25</v>
      </c>
      <c r="D2" s="54" t="s">
        <v>27</v>
      </c>
      <c r="E2" s="54" t="s">
        <v>28</v>
      </c>
      <c r="F2" s="54" t="s">
        <v>32</v>
      </c>
      <c r="G2" s="54" t="s">
        <v>33</v>
      </c>
      <c r="H2" s="13" t="s">
        <v>363</v>
      </c>
      <c r="I2" s="54" t="s">
        <v>29</v>
      </c>
      <c r="J2" s="54" t="s">
        <v>30</v>
      </c>
      <c r="K2" s="13" t="s">
        <v>41</v>
      </c>
      <c r="L2" s="55" t="s">
        <v>41</v>
      </c>
      <c r="M2" s="55" t="s">
        <v>41</v>
      </c>
      <c r="N2" s="55" t="s">
        <v>41</v>
      </c>
      <c r="O2" s="55" t="s">
        <v>41</v>
      </c>
      <c r="P2" s="55" t="s">
        <v>41</v>
      </c>
      <c r="Q2" s="55" t="s">
        <v>41</v>
      </c>
      <c r="R2" s="55" t="s">
        <v>41</v>
      </c>
      <c r="S2" s="55" t="s">
        <v>41</v>
      </c>
      <c r="T2" s="55" t="s">
        <v>41</v>
      </c>
      <c r="U2" s="55" t="s">
        <v>41</v>
      </c>
      <c r="V2" s="55" t="s">
        <v>41</v>
      </c>
      <c r="W2" s="55" t="s">
        <v>41</v>
      </c>
      <c r="X2" s="55" t="s">
        <v>41</v>
      </c>
      <c r="Y2" s="55" t="s">
        <v>41</v>
      </c>
      <c r="Z2" s="55" t="s">
        <v>41</v>
      </c>
      <c r="AA2" s="55" t="s">
        <v>41</v>
      </c>
      <c r="AB2" s="55" t="s">
        <v>41</v>
      </c>
      <c r="AC2" s="55" t="s">
        <v>41</v>
      </c>
      <c r="AD2" s="55" t="s">
        <v>41</v>
      </c>
      <c r="AE2" s="55" t="s">
        <v>41</v>
      </c>
      <c r="AF2" s="55" t="s">
        <v>41</v>
      </c>
      <c r="AG2" s="55" t="s">
        <v>41</v>
      </c>
      <c r="AH2" s="55" t="s">
        <v>41</v>
      </c>
      <c r="AI2" s="55" t="s">
        <v>41</v>
      </c>
      <c r="AJ2" s="55" t="s">
        <v>41</v>
      </c>
      <c r="AK2" s="55" t="s">
        <v>41</v>
      </c>
      <c r="AL2" s="55" t="s">
        <v>41</v>
      </c>
      <c r="AM2" s="55" t="s">
        <v>41</v>
      </c>
      <c r="AN2" s="55" t="s">
        <v>41</v>
      </c>
      <c r="AO2" s="55" t="s">
        <v>41</v>
      </c>
      <c r="AP2" s="55" t="s">
        <v>41</v>
      </c>
      <c r="AQ2" s="55" t="s">
        <v>41</v>
      </c>
      <c r="AR2" s="55" t="s">
        <v>41</v>
      </c>
      <c r="AS2" s="55" t="s">
        <v>41</v>
      </c>
      <c r="AT2" s="55" t="s">
        <v>41</v>
      </c>
      <c r="AU2" s="55" t="s">
        <v>41</v>
      </c>
      <c r="AV2" s="14"/>
    </row>
    <row r="3" spans="1:48" x14ac:dyDescent="0.25">
      <c r="A3" s="26" t="s">
        <v>138</v>
      </c>
      <c r="B3" s="270" t="s">
        <v>362</v>
      </c>
      <c r="C3" s="271" t="s">
        <v>18</v>
      </c>
      <c r="D3" s="112"/>
      <c r="E3" s="113"/>
      <c r="F3" s="187"/>
      <c r="G3" s="112"/>
      <c r="H3" s="187">
        <v>0</v>
      </c>
      <c r="I3" s="187">
        <v>0</v>
      </c>
      <c r="J3" s="187">
        <v>1</v>
      </c>
      <c r="K3" s="112" t="s">
        <v>34</v>
      </c>
      <c r="L3" s="156" t="s">
        <v>34</v>
      </c>
      <c r="M3" s="156" t="s">
        <v>34</v>
      </c>
      <c r="N3" s="156" t="s">
        <v>34</v>
      </c>
      <c r="O3" s="156" t="s">
        <v>34</v>
      </c>
      <c r="P3" s="156" t="s">
        <v>34</v>
      </c>
      <c r="Q3" s="156" t="s">
        <v>34</v>
      </c>
      <c r="R3" s="156" t="s">
        <v>34</v>
      </c>
      <c r="S3" s="156" t="s">
        <v>34</v>
      </c>
      <c r="T3" s="307" t="s">
        <v>34</v>
      </c>
      <c r="U3" s="307" t="s">
        <v>34</v>
      </c>
      <c r="V3" s="156" t="s">
        <v>34</v>
      </c>
      <c r="W3" s="156" t="s">
        <v>34</v>
      </c>
      <c r="X3" s="156" t="s">
        <v>34</v>
      </c>
      <c r="Y3" s="156" t="s">
        <v>34</v>
      </c>
      <c r="Z3" s="156" t="s">
        <v>34</v>
      </c>
      <c r="AA3" s="156" t="s">
        <v>34</v>
      </c>
      <c r="AB3" s="156" t="s">
        <v>34</v>
      </c>
      <c r="AC3" s="156" t="s">
        <v>34</v>
      </c>
      <c r="AD3" s="156" t="s">
        <v>34</v>
      </c>
      <c r="AE3" s="308" t="s">
        <v>34</v>
      </c>
      <c r="AF3" s="156" t="s">
        <v>34</v>
      </c>
      <c r="AG3" s="156" t="s">
        <v>34</v>
      </c>
      <c r="AH3" s="156" t="s">
        <v>34</v>
      </c>
      <c r="AI3" s="156" t="s">
        <v>34</v>
      </c>
      <c r="AJ3" s="156" t="s">
        <v>34</v>
      </c>
      <c r="AK3" s="156" t="s">
        <v>34</v>
      </c>
      <c r="AL3" s="156" t="s">
        <v>34</v>
      </c>
      <c r="AM3" s="156" t="s">
        <v>34</v>
      </c>
      <c r="AN3" s="156" t="s">
        <v>34</v>
      </c>
      <c r="AO3" s="156" t="s">
        <v>34</v>
      </c>
      <c r="AP3" s="167">
        <v>0</v>
      </c>
      <c r="AQ3" s="307" t="s">
        <v>34</v>
      </c>
      <c r="AR3" s="307" t="s">
        <v>34</v>
      </c>
      <c r="AS3" s="307" t="s">
        <v>34</v>
      </c>
      <c r="AT3" s="307" t="s">
        <v>34</v>
      </c>
      <c r="AU3" s="22">
        <f t="shared" ref="AU3:AU8" si="0">SUM(K3:AT3)</f>
        <v>0</v>
      </c>
      <c r="AV3" s="75"/>
    </row>
    <row r="4" spans="1:48" x14ac:dyDescent="0.25">
      <c r="A4" s="27" t="s">
        <v>138</v>
      </c>
      <c r="B4" s="309" t="s">
        <v>334</v>
      </c>
      <c r="C4" s="310" t="s">
        <v>610</v>
      </c>
      <c r="D4" s="112">
        <v>-13</v>
      </c>
      <c r="E4" s="113"/>
      <c r="F4" s="187">
        <v>1</v>
      </c>
      <c r="G4" s="112">
        <v>1</v>
      </c>
      <c r="H4" s="187">
        <v>10</v>
      </c>
      <c r="I4" s="187">
        <v>10</v>
      </c>
      <c r="J4" s="187">
        <v>18</v>
      </c>
      <c r="K4" s="199">
        <v>0</v>
      </c>
      <c r="L4" s="198">
        <v>0</v>
      </c>
      <c r="M4" s="198">
        <v>0</v>
      </c>
      <c r="N4" s="198">
        <v>0</v>
      </c>
      <c r="O4" s="198">
        <v>0</v>
      </c>
      <c r="P4" s="198">
        <v>0</v>
      </c>
      <c r="Q4" s="147" t="s">
        <v>34</v>
      </c>
      <c r="R4" s="147" t="s">
        <v>34</v>
      </c>
      <c r="S4" s="147" t="s">
        <v>34</v>
      </c>
      <c r="T4" s="154">
        <v>0</v>
      </c>
      <c r="U4" s="154">
        <v>0</v>
      </c>
      <c r="V4" s="198">
        <v>0</v>
      </c>
      <c r="W4" s="198">
        <v>0</v>
      </c>
      <c r="X4" s="198">
        <v>0</v>
      </c>
      <c r="Y4" s="198">
        <v>0</v>
      </c>
      <c r="Z4" s="198">
        <v>0</v>
      </c>
      <c r="AA4" s="198">
        <v>0</v>
      </c>
      <c r="AB4" s="147">
        <v>90</v>
      </c>
      <c r="AC4" s="147" t="s">
        <v>34</v>
      </c>
      <c r="AD4" s="147" t="s">
        <v>34</v>
      </c>
      <c r="AE4" s="195">
        <v>0</v>
      </c>
      <c r="AF4" s="147" t="s">
        <v>34</v>
      </c>
      <c r="AG4" s="147" t="s">
        <v>34</v>
      </c>
      <c r="AH4" s="198">
        <v>0</v>
      </c>
      <c r="AI4" s="198">
        <v>0</v>
      </c>
      <c r="AJ4" s="198">
        <v>0</v>
      </c>
      <c r="AK4" s="147">
        <v>90</v>
      </c>
      <c r="AL4" s="147">
        <v>90</v>
      </c>
      <c r="AM4" s="147">
        <v>90</v>
      </c>
      <c r="AN4" s="147">
        <v>90</v>
      </c>
      <c r="AO4" s="147">
        <v>65</v>
      </c>
      <c r="AP4" s="147" t="s">
        <v>34</v>
      </c>
      <c r="AQ4" s="280">
        <v>90</v>
      </c>
      <c r="AR4" s="280">
        <v>90</v>
      </c>
      <c r="AS4" s="280">
        <v>90</v>
      </c>
      <c r="AT4" s="280">
        <v>90</v>
      </c>
      <c r="AU4" s="72">
        <f t="shared" si="0"/>
        <v>875</v>
      </c>
      <c r="AV4" s="75"/>
    </row>
    <row r="5" spans="1:48" x14ac:dyDescent="0.25">
      <c r="A5" s="27" t="s">
        <v>138</v>
      </c>
      <c r="B5" s="274" t="s">
        <v>509</v>
      </c>
      <c r="C5" s="275" t="s">
        <v>690</v>
      </c>
      <c r="D5" s="151">
        <v>-2</v>
      </c>
      <c r="E5" s="115"/>
      <c r="F5" s="72"/>
      <c r="G5" s="151"/>
      <c r="H5" s="72">
        <v>2</v>
      </c>
      <c r="I5" s="72">
        <v>1</v>
      </c>
      <c r="J5" s="72">
        <v>11</v>
      </c>
      <c r="K5" s="151" t="s">
        <v>34</v>
      </c>
      <c r="L5" s="147" t="s">
        <v>34</v>
      </c>
      <c r="M5" s="147" t="s">
        <v>34</v>
      </c>
      <c r="N5" s="147" t="s">
        <v>34</v>
      </c>
      <c r="O5" s="147" t="s">
        <v>34</v>
      </c>
      <c r="P5" s="114" t="s">
        <v>34</v>
      </c>
      <c r="Q5" s="114" t="s">
        <v>34</v>
      </c>
      <c r="R5" s="147" t="s">
        <v>34</v>
      </c>
      <c r="S5" s="114" t="s">
        <v>34</v>
      </c>
      <c r="T5" s="276" t="s">
        <v>34</v>
      </c>
      <c r="U5" s="276" t="s">
        <v>34</v>
      </c>
      <c r="V5" s="114" t="s">
        <v>34</v>
      </c>
      <c r="W5" s="114" t="s">
        <v>34</v>
      </c>
      <c r="X5" s="147" t="s">
        <v>34</v>
      </c>
      <c r="Y5" s="147" t="s">
        <v>34</v>
      </c>
      <c r="Z5" s="147" t="s">
        <v>34</v>
      </c>
      <c r="AA5" s="147" t="s">
        <v>34</v>
      </c>
      <c r="AB5" s="147" t="s">
        <v>34</v>
      </c>
      <c r="AC5" s="278">
        <v>0</v>
      </c>
      <c r="AD5" s="278">
        <v>0</v>
      </c>
      <c r="AE5" s="186" t="s">
        <v>34</v>
      </c>
      <c r="AF5" s="278">
        <v>0</v>
      </c>
      <c r="AG5" s="278">
        <v>0</v>
      </c>
      <c r="AH5" s="114" t="s">
        <v>34</v>
      </c>
      <c r="AI5" s="114" t="s">
        <v>34</v>
      </c>
      <c r="AJ5" s="114" t="s">
        <v>34</v>
      </c>
      <c r="AK5" s="114" t="s">
        <v>34</v>
      </c>
      <c r="AL5" s="114" t="s">
        <v>34</v>
      </c>
      <c r="AM5" s="278">
        <v>0</v>
      </c>
      <c r="AN5" s="278">
        <v>0</v>
      </c>
      <c r="AO5" s="278">
        <v>23</v>
      </c>
      <c r="AP5" s="114">
        <v>90</v>
      </c>
      <c r="AQ5" s="279">
        <v>0</v>
      </c>
      <c r="AR5" s="279">
        <v>0</v>
      </c>
      <c r="AS5" s="279">
        <v>0</v>
      </c>
      <c r="AT5" s="279">
        <v>0</v>
      </c>
      <c r="AU5" s="72">
        <f t="shared" si="0"/>
        <v>113</v>
      </c>
      <c r="AV5" s="75"/>
    </row>
    <row r="6" spans="1:48" x14ac:dyDescent="0.25">
      <c r="A6" s="27" t="s">
        <v>138</v>
      </c>
      <c r="B6" s="274" t="s">
        <v>482</v>
      </c>
      <c r="C6" s="275" t="s">
        <v>483</v>
      </c>
      <c r="D6" s="151">
        <v>-38</v>
      </c>
      <c r="E6" s="115"/>
      <c r="F6" s="72">
        <v>3</v>
      </c>
      <c r="G6" s="151"/>
      <c r="H6" s="72">
        <v>25</v>
      </c>
      <c r="I6" s="72">
        <v>25</v>
      </c>
      <c r="J6" s="72">
        <v>3</v>
      </c>
      <c r="K6" s="151">
        <v>90</v>
      </c>
      <c r="L6" s="147">
        <v>90</v>
      </c>
      <c r="M6" s="147">
        <v>90</v>
      </c>
      <c r="N6" s="147">
        <v>90</v>
      </c>
      <c r="O6" s="147">
        <v>90</v>
      </c>
      <c r="P6" s="147">
        <v>90</v>
      </c>
      <c r="Q6" s="114">
        <v>90</v>
      </c>
      <c r="R6" s="114">
        <v>90</v>
      </c>
      <c r="S6" s="114">
        <v>90</v>
      </c>
      <c r="T6" s="276">
        <v>90</v>
      </c>
      <c r="U6" s="276">
        <v>90</v>
      </c>
      <c r="V6" s="114">
        <v>90</v>
      </c>
      <c r="W6" s="114">
        <v>90</v>
      </c>
      <c r="X6" s="147">
        <v>90</v>
      </c>
      <c r="Y6" s="147">
        <v>90</v>
      </c>
      <c r="Z6" s="147">
        <v>90</v>
      </c>
      <c r="AA6" s="147">
        <v>90</v>
      </c>
      <c r="AB6" s="198">
        <v>0</v>
      </c>
      <c r="AC6" s="147">
        <v>90</v>
      </c>
      <c r="AD6" s="147">
        <v>90</v>
      </c>
      <c r="AE6" s="186">
        <v>90</v>
      </c>
      <c r="AF6" s="147">
        <v>90</v>
      </c>
      <c r="AG6" s="147">
        <v>90</v>
      </c>
      <c r="AH6" s="147">
        <v>90</v>
      </c>
      <c r="AI6" s="147">
        <v>90</v>
      </c>
      <c r="AJ6" s="114">
        <v>90</v>
      </c>
      <c r="AK6" s="278">
        <v>0</v>
      </c>
      <c r="AL6" s="278">
        <v>0</v>
      </c>
      <c r="AM6" s="114" t="s">
        <v>34</v>
      </c>
      <c r="AN6" s="114" t="s">
        <v>34</v>
      </c>
      <c r="AO6" s="114" t="s">
        <v>34</v>
      </c>
      <c r="AP6" s="114" t="s">
        <v>34</v>
      </c>
      <c r="AQ6" s="276" t="s">
        <v>34</v>
      </c>
      <c r="AR6" s="276" t="s">
        <v>34</v>
      </c>
      <c r="AS6" s="276" t="s">
        <v>34</v>
      </c>
      <c r="AT6" s="276" t="s">
        <v>34</v>
      </c>
      <c r="AU6" s="72">
        <f t="shared" si="0"/>
        <v>2250</v>
      </c>
      <c r="AV6" s="75"/>
    </row>
    <row r="7" spans="1:48" x14ac:dyDescent="0.25">
      <c r="A7" s="27" t="s">
        <v>138</v>
      </c>
      <c r="B7" s="274" t="s">
        <v>507</v>
      </c>
      <c r="C7" s="275" t="s">
        <v>15</v>
      </c>
      <c r="D7" s="151"/>
      <c r="E7" s="115"/>
      <c r="F7" s="72"/>
      <c r="G7" s="151"/>
      <c r="H7" s="72">
        <v>0</v>
      </c>
      <c r="I7" s="72">
        <v>0</v>
      </c>
      <c r="J7" s="72">
        <v>3</v>
      </c>
      <c r="K7" s="151" t="s">
        <v>34</v>
      </c>
      <c r="L7" s="147" t="s">
        <v>34</v>
      </c>
      <c r="M7" s="147" t="s">
        <v>34</v>
      </c>
      <c r="N7" s="147" t="s">
        <v>34</v>
      </c>
      <c r="O7" s="147" t="s">
        <v>34</v>
      </c>
      <c r="P7" s="114" t="s">
        <v>34</v>
      </c>
      <c r="Q7" s="278">
        <v>0</v>
      </c>
      <c r="R7" s="278">
        <v>0</v>
      </c>
      <c r="S7" s="278">
        <v>0</v>
      </c>
      <c r="T7" s="276" t="s">
        <v>34</v>
      </c>
      <c r="U7" s="276" t="s">
        <v>34</v>
      </c>
      <c r="V7" s="114" t="s">
        <v>34</v>
      </c>
      <c r="W7" s="114" t="s">
        <v>34</v>
      </c>
      <c r="X7" s="147" t="s">
        <v>34</v>
      </c>
      <c r="Y7" s="147" t="s">
        <v>34</v>
      </c>
      <c r="Z7" s="147" t="s">
        <v>34</v>
      </c>
      <c r="AA7" s="147" t="s">
        <v>34</v>
      </c>
      <c r="AB7" s="147" t="s">
        <v>34</v>
      </c>
      <c r="AC7" s="147" t="s">
        <v>34</v>
      </c>
      <c r="AD7" s="147" t="s">
        <v>34</v>
      </c>
      <c r="AE7" s="186" t="s">
        <v>34</v>
      </c>
      <c r="AF7" s="147" t="s">
        <v>34</v>
      </c>
      <c r="AG7" s="147" t="s">
        <v>34</v>
      </c>
      <c r="AH7" s="147" t="s">
        <v>34</v>
      </c>
      <c r="AI7" s="147" t="s">
        <v>34</v>
      </c>
      <c r="AJ7" s="114" t="s">
        <v>34</v>
      </c>
      <c r="AK7" s="114" t="s">
        <v>34</v>
      </c>
      <c r="AL7" s="114" t="s">
        <v>34</v>
      </c>
      <c r="AM7" s="114" t="s">
        <v>34</v>
      </c>
      <c r="AN7" s="276" t="s">
        <v>34</v>
      </c>
      <c r="AO7" s="114" t="s">
        <v>34</v>
      </c>
      <c r="AP7" s="114" t="s">
        <v>34</v>
      </c>
      <c r="AQ7" s="276" t="s">
        <v>34</v>
      </c>
      <c r="AR7" s="276" t="s">
        <v>34</v>
      </c>
      <c r="AS7" s="276" t="s">
        <v>34</v>
      </c>
      <c r="AT7" s="276" t="s">
        <v>34</v>
      </c>
      <c r="AU7" s="72">
        <f t="shared" si="0"/>
        <v>0</v>
      </c>
      <c r="AV7" s="75"/>
    </row>
    <row r="8" spans="1:48" x14ac:dyDescent="0.25">
      <c r="A8" s="28" t="s">
        <v>141</v>
      </c>
      <c r="B8" s="274" t="s">
        <v>492</v>
      </c>
      <c r="C8" s="275" t="s">
        <v>20</v>
      </c>
      <c r="D8" s="151"/>
      <c r="E8" s="115"/>
      <c r="F8" s="72"/>
      <c r="G8" s="151">
        <v>1</v>
      </c>
      <c r="H8" s="72">
        <v>9</v>
      </c>
      <c r="I8" s="72">
        <v>5</v>
      </c>
      <c r="J8" s="72">
        <v>5</v>
      </c>
      <c r="K8" s="281">
        <v>14</v>
      </c>
      <c r="L8" s="198">
        <v>13</v>
      </c>
      <c r="M8" s="198">
        <v>45</v>
      </c>
      <c r="N8" s="147" t="s">
        <v>34</v>
      </c>
      <c r="O8" s="198">
        <v>7</v>
      </c>
      <c r="P8" s="114" t="s">
        <v>34</v>
      </c>
      <c r="Q8" s="114" t="s">
        <v>34</v>
      </c>
      <c r="R8" s="114" t="s">
        <v>34</v>
      </c>
      <c r="S8" s="114" t="s">
        <v>34</v>
      </c>
      <c r="T8" s="276" t="s">
        <v>34</v>
      </c>
      <c r="U8" s="276" t="s">
        <v>34</v>
      </c>
      <c r="V8" s="278">
        <v>0</v>
      </c>
      <c r="W8" s="114" t="s">
        <v>34</v>
      </c>
      <c r="X8" s="147" t="s">
        <v>34</v>
      </c>
      <c r="Y8" s="147" t="s">
        <v>34</v>
      </c>
      <c r="Z8" s="147" t="s">
        <v>34</v>
      </c>
      <c r="AA8" s="147" t="s">
        <v>34</v>
      </c>
      <c r="AB8" s="147" t="s">
        <v>34</v>
      </c>
      <c r="AC8" s="147" t="s">
        <v>34</v>
      </c>
      <c r="AD8" s="147" t="s">
        <v>34</v>
      </c>
      <c r="AE8" s="186" t="s">
        <v>34</v>
      </c>
      <c r="AF8" s="147">
        <v>90</v>
      </c>
      <c r="AG8" s="147">
        <v>90</v>
      </c>
      <c r="AH8" s="147">
        <v>78</v>
      </c>
      <c r="AI8" s="147">
        <v>76</v>
      </c>
      <c r="AJ8" s="114">
        <v>90</v>
      </c>
      <c r="AK8" s="114" t="s">
        <v>34</v>
      </c>
      <c r="AL8" s="114" t="s">
        <v>34</v>
      </c>
      <c r="AM8" s="114" t="s">
        <v>34</v>
      </c>
      <c r="AN8" s="276" t="s">
        <v>34</v>
      </c>
      <c r="AO8" s="114" t="s">
        <v>34</v>
      </c>
      <c r="AP8" s="114" t="s">
        <v>34</v>
      </c>
      <c r="AQ8" s="276" t="s">
        <v>34</v>
      </c>
      <c r="AR8" s="276" t="s">
        <v>34</v>
      </c>
      <c r="AS8" s="276" t="s">
        <v>34</v>
      </c>
      <c r="AT8" s="276" t="s">
        <v>34</v>
      </c>
      <c r="AU8" s="72">
        <f t="shared" si="0"/>
        <v>503</v>
      </c>
      <c r="AV8" s="75"/>
    </row>
    <row r="9" spans="1:48" x14ac:dyDescent="0.25">
      <c r="A9" s="28" t="s">
        <v>141</v>
      </c>
      <c r="B9" s="274" t="s">
        <v>337</v>
      </c>
      <c r="C9" s="275" t="s">
        <v>2</v>
      </c>
      <c r="D9" s="151"/>
      <c r="E9" s="115"/>
      <c r="F9" s="72">
        <v>6</v>
      </c>
      <c r="G9" s="151">
        <v>2</v>
      </c>
      <c r="H9" s="72">
        <v>31</v>
      </c>
      <c r="I9" s="72">
        <v>30</v>
      </c>
      <c r="J9" s="72">
        <v>1</v>
      </c>
      <c r="K9" s="151">
        <v>90</v>
      </c>
      <c r="L9" s="147">
        <v>90</v>
      </c>
      <c r="M9" s="147">
        <v>44</v>
      </c>
      <c r="N9" s="147" t="s">
        <v>34</v>
      </c>
      <c r="O9" s="147">
        <v>90</v>
      </c>
      <c r="P9" s="114">
        <v>87</v>
      </c>
      <c r="Q9" s="114">
        <v>90</v>
      </c>
      <c r="R9" s="114">
        <v>90</v>
      </c>
      <c r="S9" s="114">
        <v>90</v>
      </c>
      <c r="T9" s="276">
        <v>90</v>
      </c>
      <c r="U9" s="276">
        <v>90</v>
      </c>
      <c r="V9" s="114">
        <v>90</v>
      </c>
      <c r="W9" s="114">
        <v>90</v>
      </c>
      <c r="X9" s="147">
        <v>90</v>
      </c>
      <c r="Y9" s="147">
        <v>60</v>
      </c>
      <c r="Z9" s="147">
        <v>85</v>
      </c>
      <c r="AA9" s="147">
        <v>81</v>
      </c>
      <c r="AB9" s="147" t="s">
        <v>34</v>
      </c>
      <c r="AC9" s="147" t="s">
        <v>34</v>
      </c>
      <c r="AD9" s="147" t="s">
        <v>34</v>
      </c>
      <c r="AE9" s="186">
        <v>90</v>
      </c>
      <c r="AF9" s="147">
        <v>90</v>
      </c>
      <c r="AG9" s="147">
        <v>90</v>
      </c>
      <c r="AH9" s="147">
        <v>90</v>
      </c>
      <c r="AI9" s="147">
        <v>90</v>
      </c>
      <c r="AJ9" s="114">
        <v>90</v>
      </c>
      <c r="AK9" s="114">
        <v>90</v>
      </c>
      <c r="AL9" s="114">
        <v>76</v>
      </c>
      <c r="AM9" s="278">
        <v>25</v>
      </c>
      <c r="AN9" s="276" t="s">
        <v>34</v>
      </c>
      <c r="AO9" s="114">
        <v>90</v>
      </c>
      <c r="AP9" s="114">
        <v>90</v>
      </c>
      <c r="AQ9" s="276">
        <v>90</v>
      </c>
      <c r="AR9" s="276">
        <v>90</v>
      </c>
      <c r="AS9" s="276">
        <v>90</v>
      </c>
      <c r="AT9" s="276">
        <v>90</v>
      </c>
      <c r="AU9" s="72">
        <f t="shared" ref="AU9:AU40" si="1">SUM(K9:AT9)</f>
        <v>2618</v>
      </c>
      <c r="AV9" s="75"/>
    </row>
    <row r="10" spans="1:48" x14ac:dyDescent="0.25">
      <c r="A10" s="28" t="s">
        <v>141</v>
      </c>
      <c r="B10" s="274" t="s">
        <v>338</v>
      </c>
      <c r="C10" s="275" t="s">
        <v>505</v>
      </c>
      <c r="D10" s="151">
        <v>1</v>
      </c>
      <c r="E10" s="115"/>
      <c r="F10" s="72">
        <v>3</v>
      </c>
      <c r="G10" s="151"/>
      <c r="H10" s="72">
        <v>17</v>
      </c>
      <c r="I10" s="72">
        <v>12</v>
      </c>
      <c r="J10" s="72">
        <v>10</v>
      </c>
      <c r="K10" s="151" t="s">
        <v>34</v>
      </c>
      <c r="L10" s="147" t="s">
        <v>34</v>
      </c>
      <c r="M10" s="147" t="s">
        <v>34</v>
      </c>
      <c r="N10" s="198">
        <v>45</v>
      </c>
      <c r="O10" s="147" t="s">
        <v>34</v>
      </c>
      <c r="P10" s="114" t="s">
        <v>34</v>
      </c>
      <c r="Q10" s="114" t="s">
        <v>34</v>
      </c>
      <c r="R10" s="114" t="s">
        <v>34</v>
      </c>
      <c r="S10" s="278">
        <v>0</v>
      </c>
      <c r="T10" s="276" t="s">
        <v>34</v>
      </c>
      <c r="U10" s="276" t="s">
        <v>34</v>
      </c>
      <c r="V10" s="114" t="s">
        <v>34</v>
      </c>
      <c r="W10" s="278">
        <v>0</v>
      </c>
      <c r="X10" s="147">
        <v>90</v>
      </c>
      <c r="Y10" s="147">
        <v>90</v>
      </c>
      <c r="Z10" s="147">
        <v>90</v>
      </c>
      <c r="AA10" s="147">
        <v>90</v>
      </c>
      <c r="AB10" s="147">
        <v>90</v>
      </c>
      <c r="AC10" s="198">
        <v>20</v>
      </c>
      <c r="AD10" s="198">
        <v>45</v>
      </c>
      <c r="AE10" s="186">
        <v>60</v>
      </c>
      <c r="AF10" s="147">
        <v>90</v>
      </c>
      <c r="AG10" s="147">
        <v>90</v>
      </c>
      <c r="AH10" s="147" t="s">
        <v>34</v>
      </c>
      <c r="AI10" s="147" t="s">
        <v>34</v>
      </c>
      <c r="AJ10" s="114" t="s">
        <v>34</v>
      </c>
      <c r="AK10" s="114" t="s">
        <v>34</v>
      </c>
      <c r="AL10" s="278">
        <v>0</v>
      </c>
      <c r="AM10" s="278">
        <v>0</v>
      </c>
      <c r="AN10" s="279">
        <v>22</v>
      </c>
      <c r="AO10" s="278">
        <v>6</v>
      </c>
      <c r="AP10" s="278">
        <v>0</v>
      </c>
      <c r="AQ10" s="276">
        <v>90</v>
      </c>
      <c r="AR10" s="276">
        <v>45</v>
      </c>
      <c r="AS10" s="276">
        <v>90</v>
      </c>
      <c r="AT10" s="276">
        <v>90</v>
      </c>
      <c r="AU10" s="72">
        <f t="shared" si="1"/>
        <v>1143</v>
      </c>
      <c r="AV10" s="75"/>
    </row>
    <row r="11" spans="1:48" x14ac:dyDescent="0.25">
      <c r="A11" s="28" t="s">
        <v>141</v>
      </c>
      <c r="B11" s="274" t="s">
        <v>340</v>
      </c>
      <c r="C11" s="275" t="s">
        <v>508</v>
      </c>
      <c r="D11" s="151"/>
      <c r="E11" s="115"/>
      <c r="F11" s="72">
        <v>4</v>
      </c>
      <c r="G11" s="151"/>
      <c r="H11" s="72">
        <v>19</v>
      </c>
      <c r="I11" s="72">
        <v>14</v>
      </c>
      <c r="J11" s="72">
        <v>8</v>
      </c>
      <c r="K11" s="151" t="s">
        <v>34</v>
      </c>
      <c r="L11" s="147" t="s">
        <v>34</v>
      </c>
      <c r="M11" s="147" t="s">
        <v>34</v>
      </c>
      <c r="N11" s="147" t="s">
        <v>34</v>
      </c>
      <c r="O11" s="147" t="s">
        <v>34</v>
      </c>
      <c r="P11" s="114" t="s">
        <v>34</v>
      </c>
      <c r="Q11" s="278">
        <v>75</v>
      </c>
      <c r="R11" s="114">
        <v>90</v>
      </c>
      <c r="S11" s="114">
        <v>63</v>
      </c>
      <c r="T11" s="279">
        <v>14</v>
      </c>
      <c r="U11" s="276">
        <v>90</v>
      </c>
      <c r="V11" s="114">
        <v>90</v>
      </c>
      <c r="W11" s="114">
        <v>90</v>
      </c>
      <c r="X11" s="198">
        <v>0</v>
      </c>
      <c r="Y11" s="147">
        <v>90</v>
      </c>
      <c r="Z11" s="147" t="s">
        <v>34</v>
      </c>
      <c r="AA11" s="147" t="s">
        <v>34</v>
      </c>
      <c r="AB11" s="147" t="s">
        <v>34</v>
      </c>
      <c r="AC11" s="147" t="s">
        <v>34</v>
      </c>
      <c r="AD11" s="147" t="s">
        <v>34</v>
      </c>
      <c r="AE11" s="277">
        <v>15</v>
      </c>
      <c r="AF11" s="147" t="s">
        <v>34</v>
      </c>
      <c r="AG11" s="147" t="s">
        <v>34</v>
      </c>
      <c r="AH11" s="198">
        <v>0</v>
      </c>
      <c r="AI11" s="198">
        <v>30</v>
      </c>
      <c r="AJ11" s="278">
        <v>0</v>
      </c>
      <c r="AK11" s="278">
        <v>24</v>
      </c>
      <c r="AL11" s="114">
        <v>90</v>
      </c>
      <c r="AM11" s="114">
        <v>90</v>
      </c>
      <c r="AN11" s="276">
        <v>90</v>
      </c>
      <c r="AO11" s="114">
        <v>90</v>
      </c>
      <c r="AP11" s="114">
        <v>90</v>
      </c>
      <c r="AQ11" s="276">
        <v>90</v>
      </c>
      <c r="AR11" s="276">
        <v>90</v>
      </c>
      <c r="AS11" s="276" t="s">
        <v>34</v>
      </c>
      <c r="AT11" s="276">
        <v>90</v>
      </c>
      <c r="AU11" s="72">
        <f t="shared" si="1"/>
        <v>1391</v>
      </c>
      <c r="AV11" s="75"/>
    </row>
    <row r="12" spans="1:48" x14ac:dyDescent="0.25">
      <c r="A12" s="28" t="s">
        <v>141</v>
      </c>
      <c r="B12" s="274" t="s">
        <v>484</v>
      </c>
      <c r="C12" s="275" t="s">
        <v>485</v>
      </c>
      <c r="D12" s="151"/>
      <c r="E12" s="115"/>
      <c r="F12" s="72">
        <v>1</v>
      </c>
      <c r="G12" s="151">
        <v>1</v>
      </c>
      <c r="H12" s="72">
        <v>7</v>
      </c>
      <c r="I12" s="72">
        <v>7</v>
      </c>
      <c r="J12" s="72">
        <v>0</v>
      </c>
      <c r="K12" s="151">
        <v>90</v>
      </c>
      <c r="L12" s="147">
        <v>90</v>
      </c>
      <c r="M12" s="147">
        <v>90</v>
      </c>
      <c r="N12" s="147">
        <v>90</v>
      </c>
      <c r="O12" s="147">
        <v>90</v>
      </c>
      <c r="P12" s="114">
        <v>90</v>
      </c>
      <c r="Q12" s="114">
        <v>90</v>
      </c>
      <c r="R12" s="114" t="s">
        <v>34</v>
      </c>
      <c r="S12" s="114" t="s">
        <v>34</v>
      </c>
      <c r="T12" s="276" t="s">
        <v>34</v>
      </c>
      <c r="U12" s="276" t="s">
        <v>34</v>
      </c>
      <c r="V12" s="114" t="s">
        <v>34</v>
      </c>
      <c r="W12" s="114" t="s">
        <v>34</v>
      </c>
      <c r="X12" s="147" t="s">
        <v>34</v>
      </c>
      <c r="Y12" s="147" t="s">
        <v>34</v>
      </c>
      <c r="Z12" s="147" t="s">
        <v>34</v>
      </c>
      <c r="AA12" s="147" t="s">
        <v>34</v>
      </c>
      <c r="AB12" s="147" t="s">
        <v>34</v>
      </c>
      <c r="AC12" s="147" t="s">
        <v>34</v>
      </c>
      <c r="AD12" s="147" t="s">
        <v>34</v>
      </c>
      <c r="AE12" s="186" t="s">
        <v>34</v>
      </c>
      <c r="AF12" s="147" t="s">
        <v>34</v>
      </c>
      <c r="AG12" s="147" t="s">
        <v>34</v>
      </c>
      <c r="AH12" s="147" t="s">
        <v>34</v>
      </c>
      <c r="AI12" s="147" t="s">
        <v>34</v>
      </c>
      <c r="AJ12" s="114" t="s">
        <v>34</v>
      </c>
      <c r="AK12" s="114" t="s">
        <v>34</v>
      </c>
      <c r="AL12" s="114" t="s">
        <v>34</v>
      </c>
      <c r="AM12" s="114" t="s">
        <v>34</v>
      </c>
      <c r="AN12" s="276" t="s">
        <v>34</v>
      </c>
      <c r="AO12" s="114" t="s">
        <v>34</v>
      </c>
      <c r="AP12" s="114" t="s">
        <v>34</v>
      </c>
      <c r="AQ12" s="276" t="s">
        <v>34</v>
      </c>
      <c r="AR12" s="276" t="s">
        <v>34</v>
      </c>
      <c r="AS12" s="276" t="s">
        <v>34</v>
      </c>
      <c r="AT12" s="276" t="s">
        <v>34</v>
      </c>
      <c r="AU12" s="72">
        <f t="shared" si="1"/>
        <v>630</v>
      </c>
      <c r="AV12" s="75"/>
    </row>
    <row r="13" spans="1:48" x14ac:dyDescent="0.25">
      <c r="A13" s="28" t="s">
        <v>141</v>
      </c>
      <c r="B13" s="274" t="s">
        <v>341</v>
      </c>
      <c r="C13" s="275" t="s">
        <v>917</v>
      </c>
      <c r="D13" s="151"/>
      <c r="E13" s="115"/>
      <c r="F13" s="72">
        <v>10</v>
      </c>
      <c r="G13" s="151"/>
      <c r="H13" s="72">
        <v>31</v>
      </c>
      <c r="I13" s="72">
        <v>31</v>
      </c>
      <c r="J13" s="72">
        <v>0</v>
      </c>
      <c r="K13" s="151">
        <v>90</v>
      </c>
      <c r="L13" s="147">
        <v>77</v>
      </c>
      <c r="M13" s="147">
        <v>90</v>
      </c>
      <c r="N13" s="147">
        <v>90</v>
      </c>
      <c r="O13" s="147">
        <v>90</v>
      </c>
      <c r="P13" s="114">
        <v>90</v>
      </c>
      <c r="Q13" s="147">
        <v>90</v>
      </c>
      <c r="R13" s="147">
        <v>90</v>
      </c>
      <c r="S13" s="147">
        <v>90</v>
      </c>
      <c r="T13" s="280">
        <v>90</v>
      </c>
      <c r="U13" s="280">
        <v>90</v>
      </c>
      <c r="V13" s="147">
        <v>90</v>
      </c>
      <c r="W13" s="147">
        <v>90</v>
      </c>
      <c r="X13" s="147">
        <v>90</v>
      </c>
      <c r="Y13" s="147">
        <v>90</v>
      </c>
      <c r="Z13" s="147">
        <v>90</v>
      </c>
      <c r="AA13" s="147">
        <v>90</v>
      </c>
      <c r="AB13" s="147" t="s">
        <v>34</v>
      </c>
      <c r="AC13" s="147">
        <v>90</v>
      </c>
      <c r="AD13" s="147">
        <v>90</v>
      </c>
      <c r="AE13" s="51">
        <v>90</v>
      </c>
      <c r="AF13" s="147" t="s">
        <v>34</v>
      </c>
      <c r="AG13" s="147" t="s">
        <v>34</v>
      </c>
      <c r="AH13" s="147">
        <v>90</v>
      </c>
      <c r="AI13" s="147">
        <v>90</v>
      </c>
      <c r="AJ13" s="114">
        <v>90</v>
      </c>
      <c r="AK13" s="147">
        <v>90</v>
      </c>
      <c r="AL13" s="147">
        <v>90</v>
      </c>
      <c r="AM13" s="147">
        <v>90</v>
      </c>
      <c r="AN13" s="280">
        <v>90</v>
      </c>
      <c r="AO13" s="147">
        <v>90</v>
      </c>
      <c r="AP13" s="147">
        <v>90</v>
      </c>
      <c r="AQ13" s="280" t="s">
        <v>34</v>
      </c>
      <c r="AR13" s="280">
        <v>90</v>
      </c>
      <c r="AS13" s="280">
        <v>75</v>
      </c>
      <c r="AT13" s="280" t="s">
        <v>34</v>
      </c>
      <c r="AU13" s="72">
        <f t="shared" si="1"/>
        <v>2762</v>
      </c>
      <c r="AV13" s="75"/>
    </row>
    <row r="14" spans="1:48" x14ac:dyDescent="0.25">
      <c r="A14" s="28" t="s">
        <v>141</v>
      </c>
      <c r="B14" s="274" t="s">
        <v>342</v>
      </c>
      <c r="C14" s="275" t="s">
        <v>1</v>
      </c>
      <c r="D14" s="151">
        <v>1</v>
      </c>
      <c r="E14" s="115"/>
      <c r="F14" s="72">
        <v>4</v>
      </c>
      <c r="G14" s="151">
        <v>1</v>
      </c>
      <c r="H14" s="72">
        <v>27</v>
      </c>
      <c r="I14" s="72">
        <v>26</v>
      </c>
      <c r="J14" s="72">
        <v>2</v>
      </c>
      <c r="K14" s="151">
        <v>90</v>
      </c>
      <c r="L14" s="147">
        <v>90</v>
      </c>
      <c r="M14" s="147">
        <v>70</v>
      </c>
      <c r="N14" s="147">
        <v>90</v>
      </c>
      <c r="O14" s="147">
        <v>75</v>
      </c>
      <c r="P14" s="114">
        <v>82</v>
      </c>
      <c r="Q14" s="147">
        <v>15</v>
      </c>
      <c r="R14" s="147" t="s">
        <v>34</v>
      </c>
      <c r="S14" s="147" t="s">
        <v>34</v>
      </c>
      <c r="T14" s="280" t="s">
        <v>34</v>
      </c>
      <c r="U14" s="154">
        <v>45</v>
      </c>
      <c r="V14" s="147">
        <v>90</v>
      </c>
      <c r="W14" s="147">
        <v>70</v>
      </c>
      <c r="X14" s="147">
        <v>61</v>
      </c>
      <c r="Y14" s="147">
        <v>60</v>
      </c>
      <c r="Z14" s="147">
        <v>73</v>
      </c>
      <c r="AA14" s="147">
        <v>86</v>
      </c>
      <c r="AB14" s="147">
        <v>65</v>
      </c>
      <c r="AC14" s="147" t="s">
        <v>34</v>
      </c>
      <c r="AD14" s="147">
        <v>90</v>
      </c>
      <c r="AE14" s="195">
        <v>0</v>
      </c>
      <c r="AF14" s="147">
        <v>90</v>
      </c>
      <c r="AG14" s="147">
        <v>90</v>
      </c>
      <c r="AH14" s="147">
        <v>90</v>
      </c>
      <c r="AI14" s="147">
        <v>60</v>
      </c>
      <c r="AJ14" s="114">
        <v>90</v>
      </c>
      <c r="AK14" s="147">
        <v>90</v>
      </c>
      <c r="AL14" s="147">
        <v>90</v>
      </c>
      <c r="AM14" s="147">
        <v>90</v>
      </c>
      <c r="AN14" s="280">
        <v>90</v>
      </c>
      <c r="AO14" s="147">
        <v>90</v>
      </c>
      <c r="AP14" s="147" t="s">
        <v>34</v>
      </c>
      <c r="AQ14" s="280" t="s">
        <v>34</v>
      </c>
      <c r="AR14" s="280">
        <v>48</v>
      </c>
      <c r="AS14" s="280" t="s">
        <v>34</v>
      </c>
      <c r="AT14" s="280" t="s">
        <v>34</v>
      </c>
      <c r="AU14" s="72">
        <f t="shared" si="1"/>
        <v>2070</v>
      </c>
      <c r="AV14" s="75"/>
    </row>
    <row r="15" spans="1:48" x14ac:dyDescent="0.25">
      <c r="A15" s="28" t="s">
        <v>141</v>
      </c>
      <c r="B15" s="274" t="s">
        <v>520</v>
      </c>
      <c r="C15" s="275" t="s">
        <v>521</v>
      </c>
      <c r="D15" s="151"/>
      <c r="E15" s="115"/>
      <c r="F15" s="72"/>
      <c r="G15" s="151"/>
      <c r="H15" s="72">
        <v>0</v>
      </c>
      <c r="I15" s="72">
        <v>0</v>
      </c>
      <c r="J15" s="72">
        <v>1</v>
      </c>
      <c r="K15" s="151" t="s">
        <v>34</v>
      </c>
      <c r="L15" s="147" t="s">
        <v>34</v>
      </c>
      <c r="M15" s="147" t="s">
        <v>34</v>
      </c>
      <c r="N15" s="147" t="s">
        <v>34</v>
      </c>
      <c r="O15" s="147" t="s">
        <v>34</v>
      </c>
      <c r="P15" s="114" t="s">
        <v>34</v>
      </c>
      <c r="Q15" s="147" t="s">
        <v>34</v>
      </c>
      <c r="R15" s="147" t="s">
        <v>34</v>
      </c>
      <c r="S15" s="147" t="s">
        <v>34</v>
      </c>
      <c r="T15" s="280" t="s">
        <v>34</v>
      </c>
      <c r="U15" s="280" t="s">
        <v>34</v>
      </c>
      <c r="V15" s="147" t="s">
        <v>34</v>
      </c>
      <c r="W15" s="280" t="s">
        <v>34</v>
      </c>
      <c r="X15" s="147" t="s">
        <v>34</v>
      </c>
      <c r="Y15" s="147" t="s">
        <v>34</v>
      </c>
      <c r="Z15" s="147" t="s">
        <v>34</v>
      </c>
      <c r="AA15" s="147" t="s">
        <v>34</v>
      </c>
      <c r="AB15" s="147" t="s">
        <v>34</v>
      </c>
      <c r="AC15" s="147" t="s">
        <v>34</v>
      </c>
      <c r="AD15" s="147" t="s">
        <v>34</v>
      </c>
      <c r="AE15" s="51" t="s">
        <v>34</v>
      </c>
      <c r="AF15" s="147" t="s">
        <v>34</v>
      </c>
      <c r="AG15" s="147" t="s">
        <v>34</v>
      </c>
      <c r="AH15" s="147" t="s">
        <v>34</v>
      </c>
      <c r="AI15" s="147" t="s">
        <v>34</v>
      </c>
      <c r="AJ15" s="114" t="s">
        <v>34</v>
      </c>
      <c r="AK15" s="198">
        <v>0</v>
      </c>
      <c r="AL15" s="147" t="s">
        <v>34</v>
      </c>
      <c r="AM15" s="147" t="s">
        <v>34</v>
      </c>
      <c r="AN15" s="280" t="s">
        <v>34</v>
      </c>
      <c r="AO15" s="280" t="s">
        <v>34</v>
      </c>
      <c r="AP15" s="147" t="s">
        <v>34</v>
      </c>
      <c r="AQ15" s="280" t="s">
        <v>34</v>
      </c>
      <c r="AR15" s="280" t="s">
        <v>34</v>
      </c>
      <c r="AS15" s="280" t="s">
        <v>34</v>
      </c>
      <c r="AT15" s="280" t="s">
        <v>34</v>
      </c>
      <c r="AU15" s="72">
        <f t="shared" si="1"/>
        <v>0</v>
      </c>
      <c r="AV15" s="75"/>
    </row>
    <row r="16" spans="1:48" x14ac:dyDescent="0.25">
      <c r="A16" s="28" t="s">
        <v>141</v>
      </c>
      <c r="B16" s="274" t="s">
        <v>503</v>
      </c>
      <c r="C16" s="275" t="s">
        <v>504</v>
      </c>
      <c r="D16" s="151"/>
      <c r="E16" s="115"/>
      <c r="F16" s="72">
        <v>3</v>
      </c>
      <c r="G16" s="151"/>
      <c r="H16" s="72">
        <v>15</v>
      </c>
      <c r="I16" s="72">
        <v>10</v>
      </c>
      <c r="J16" s="72">
        <v>10</v>
      </c>
      <c r="K16" s="151" t="s">
        <v>34</v>
      </c>
      <c r="L16" s="147" t="s">
        <v>34</v>
      </c>
      <c r="M16" s="147" t="s">
        <v>34</v>
      </c>
      <c r="N16" s="198">
        <v>0</v>
      </c>
      <c r="O16" s="147" t="s">
        <v>34</v>
      </c>
      <c r="P16" s="278">
        <v>0</v>
      </c>
      <c r="Q16" s="147" t="s">
        <v>34</v>
      </c>
      <c r="R16" s="147">
        <v>90</v>
      </c>
      <c r="S16" s="147">
        <v>90</v>
      </c>
      <c r="T16" s="280">
        <v>90</v>
      </c>
      <c r="U16" s="280">
        <v>45</v>
      </c>
      <c r="V16" s="147" t="s">
        <v>34</v>
      </c>
      <c r="W16" s="280" t="s">
        <v>34</v>
      </c>
      <c r="X16" s="147" t="s">
        <v>34</v>
      </c>
      <c r="Y16" s="147" t="s">
        <v>34</v>
      </c>
      <c r="Z16" s="147">
        <v>90</v>
      </c>
      <c r="AA16" s="147">
        <v>90</v>
      </c>
      <c r="AB16" s="198">
        <v>22</v>
      </c>
      <c r="AC16" s="147">
        <v>90</v>
      </c>
      <c r="AD16" s="147" t="s">
        <v>34</v>
      </c>
      <c r="AE16" s="51">
        <v>90</v>
      </c>
      <c r="AF16" s="198">
        <v>19</v>
      </c>
      <c r="AG16" s="198">
        <v>0</v>
      </c>
      <c r="AH16" s="198">
        <v>12</v>
      </c>
      <c r="AI16" s="198">
        <v>14</v>
      </c>
      <c r="AJ16" s="278">
        <v>0</v>
      </c>
      <c r="AK16" s="147">
        <v>77</v>
      </c>
      <c r="AL16" s="147" t="s">
        <v>34</v>
      </c>
      <c r="AM16" s="147" t="s">
        <v>34</v>
      </c>
      <c r="AN16" s="280" t="s">
        <v>34</v>
      </c>
      <c r="AO16" s="280" t="s">
        <v>34</v>
      </c>
      <c r="AP16" s="147" t="s">
        <v>34</v>
      </c>
      <c r="AQ16" s="154">
        <v>0</v>
      </c>
      <c r="AR16" s="154">
        <v>42</v>
      </c>
      <c r="AS16" s="280">
        <v>56</v>
      </c>
      <c r="AT16" s="280" t="s">
        <v>34</v>
      </c>
      <c r="AU16" s="72">
        <f t="shared" si="1"/>
        <v>917</v>
      </c>
      <c r="AV16" s="75"/>
    </row>
    <row r="17" spans="1:48" x14ac:dyDescent="0.25">
      <c r="A17" s="28" t="s">
        <v>141</v>
      </c>
      <c r="B17" s="274" t="s">
        <v>501</v>
      </c>
      <c r="C17" s="275" t="s">
        <v>502</v>
      </c>
      <c r="D17" s="151"/>
      <c r="E17" s="115"/>
      <c r="F17" s="72"/>
      <c r="G17" s="151"/>
      <c r="H17" s="72">
        <v>6</v>
      </c>
      <c r="I17" s="72">
        <v>4</v>
      </c>
      <c r="J17" s="72">
        <v>3</v>
      </c>
      <c r="K17" s="151" t="s">
        <v>34</v>
      </c>
      <c r="L17" s="147" t="s">
        <v>34</v>
      </c>
      <c r="M17" s="147" t="s">
        <v>34</v>
      </c>
      <c r="N17" s="147">
        <v>66</v>
      </c>
      <c r="O17" s="147" t="s">
        <v>34</v>
      </c>
      <c r="P17" s="114" t="s">
        <v>34</v>
      </c>
      <c r="Q17" s="147" t="s">
        <v>34</v>
      </c>
      <c r="R17" s="147" t="s">
        <v>34</v>
      </c>
      <c r="S17" s="147" t="s">
        <v>34</v>
      </c>
      <c r="T17" s="280" t="s">
        <v>34</v>
      </c>
      <c r="U17" s="154">
        <v>11</v>
      </c>
      <c r="V17" s="147" t="s">
        <v>34</v>
      </c>
      <c r="W17" s="280" t="s">
        <v>34</v>
      </c>
      <c r="X17" s="147" t="s">
        <v>34</v>
      </c>
      <c r="Y17" s="147" t="s">
        <v>34</v>
      </c>
      <c r="Z17" s="198">
        <v>5</v>
      </c>
      <c r="AA17" s="198">
        <v>0</v>
      </c>
      <c r="AB17" s="147">
        <v>90</v>
      </c>
      <c r="AC17" s="147">
        <v>70</v>
      </c>
      <c r="AD17" s="147">
        <v>45</v>
      </c>
      <c r="AE17" s="51" t="s">
        <v>34</v>
      </c>
      <c r="AF17" s="147" t="s">
        <v>34</v>
      </c>
      <c r="AG17" s="147" t="s">
        <v>34</v>
      </c>
      <c r="AH17" s="147" t="s">
        <v>34</v>
      </c>
      <c r="AI17" s="147" t="s">
        <v>34</v>
      </c>
      <c r="AJ17" s="114" t="s">
        <v>34</v>
      </c>
      <c r="AK17" s="147" t="s">
        <v>34</v>
      </c>
      <c r="AL17" s="147" t="s">
        <v>34</v>
      </c>
      <c r="AM17" s="147" t="s">
        <v>34</v>
      </c>
      <c r="AN17" s="280" t="s">
        <v>34</v>
      </c>
      <c r="AO17" s="280" t="s">
        <v>34</v>
      </c>
      <c r="AP17" s="147" t="s">
        <v>34</v>
      </c>
      <c r="AQ17" s="280" t="s">
        <v>34</v>
      </c>
      <c r="AR17" s="280" t="s">
        <v>34</v>
      </c>
      <c r="AS17" s="280" t="s">
        <v>34</v>
      </c>
      <c r="AT17" s="280" t="s">
        <v>34</v>
      </c>
      <c r="AU17" s="72">
        <f t="shared" si="1"/>
        <v>287</v>
      </c>
      <c r="AV17" s="75"/>
    </row>
    <row r="18" spans="1:48" x14ac:dyDescent="0.25">
      <c r="A18" s="29" t="s">
        <v>139</v>
      </c>
      <c r="B18" s="274" t="s">
        <v>512</v>
      </c>
      <c r="C18" s="275" t="s">
        <v>513</v>
      </c>
      <c r="D18" s="151"/>
      <c r="E18" s="115"/>
      <c r="F18" s="72"/>
      <c r="G18" s="151"/>
      <c r="H18" s="72">
        <v>1</v>
      </c>
      <c r="I18" s="72">
        <v>0</v>
      </c>
      <c r="J18" s="72">
        <v>5</v>
      </c>
      <c r="K18" s="151" t="s">
        <v>34</v>
      </c>
      <c r="L18" s="147" t="s">
        <v>34</v>
      </c>
      <c r="M18" s="147" t="s">
        <v>34</v>
      </c>
      <c r="N18" s="147" t="s">
        <v>34</v>
      </c>
      <c r="O18" s="147" t="s">
        <v>34</v>
      </c>
      <c r="P18" s="114" t="s">
        <v>34</v>
      </c>
      <c r="Q18" s="147" t="s">
        <v>34</v>
      </c>
      <c r="R18" s="147" t="s">
        <v>34</v>
      </c>
      <c r="S18" s="147" t="s">
        <v>34</v>
      </c>
      <c r="T18" s="280" t="s">
        <v>34</v>
      </c>
      <c r="U18" s="280" t="s">
        <v>34</v>
      </c>
      <c r="V18" s="147" t="s">
        <v>34</v>
      </c>
      <c r="W18" s="280" t="s">
        <v>34</v>
      </c>
      <c r="X18" s="147" t="s">
        <v>34</v>
      </c>
      <c r="Y18" s="147" t="s">
        <v>34</v>
      </c>
      <c r="Z18" s="198">
        <v>0</v>
      </c>
      <c r="AA18" s="198">
        <v>0</v>
      </c>
      <c r="AB18" s="198">
        <v>0</v>
      </c>
      <c r="AC18" s="198">
        <v>0</v>
      </c>
      <c r="AD18" s="147" t="s">
        <v>34</v>
      </c>
      <c r="AE18" s="51" t="s">
        <v>34</v>
      </c>
      <c r="AF18" s="198">
        <v>12</v>
      </c>
      <c r="AG18" s="147" t="s">
        <v>34</v>
      </c>
      <c r="AH18" s="147" t="s">
        <v>34</v>
      </c>
      <c r="AI18" s="147" t="s">
        <v>34</v>
      </c>
      <c r="AJ18" s="114" t="s">
        <v>34</v>
      </c>
      <c r="AK18" s="147" t="s">
        <v>34</v>
      </c>
      <c r="AL18" s="147" t="s">
        <v>34</v>
      </c>
      <c r="AM18" s="147" t="s">
        <v>34</v>
      </c>
      <c r="AN18" s="280" t="s">
        <v>34</v>
      </c>
      <c r="AO18" s="280" t="s">
        <v>34</v>
      </c>
      <c r="AP18" s="147" t="s">
        <v>34</v>
      </c>
      <c r="AQ18" s="280" t="s">
        <v>34</v>
      </c>
      <c r="AR18" s="280" t="s">
        <v>34</v>
      </c>
      <c r="AS18" s="280" t="s">
        <v>34</v>
      </c>
      <c r="AT18" s="280" t="s">
        <v>34</v>
      </c>
      <c r="AU18" s="72">
        <f t="shared" si="1"/>
        <v>12</v>
      </c>
      <c r="AV18" s="75"/>
    </row>
    <row r="19" spans="1:48" x14ac:dyDescent="0.25">
      <c r="A19" s="29" t="s">
        <v>139</v>
      </c>
      <c r="B19" s="274" t="s">
        <v>514</v>
      </c>
      <c r="C19" s="275" t="s">
        <v>515</v>
      </c>
      <c r="D19" s="151"/>
      <c r="E19" s="115"/>
      <c r="F19" s="72"/>
      <c r="G19" s="151"/>
      <c r="H19" s="72">
        <v>1</v>
      </c>
      <c r="I19" s="72">
        <v>1</v>
      </c>
      <c r="J19" s="72">
        <v>2</v>
      </c>
      <c r="K19" s="151" t="s">
        <v>34</v>
      </c>
      <c r="L19" s="147" t="s">
        <v>34</v>
      </c>
      <c r="M19" s="147" t="s">
        <v>34</v>
      </c>
      <c r="N19" s="147" t="s">
        <v>34</v>
      </c>
      <c r="O19" s="147" t="s">
        <v>34</v>
      </c>
      <c r="P19" s="114" t="s">
        <v>34</v>
      </c>
      <c r="Q19" s="147" t="s">
        <v>34</v>
      </c>
      <c r="R19" s="147" t="s">
        <v>34</v>
      </c>
      <c r="S19" s="198">
        <v>0</v>
      </c>
      <c r="T19" s="280" t="s">
        <v>34</v>
      </c>
      <c r="U19" s="280" t="s">
        <v>34</v>
      </c>
      <c r="V19" s="147" t="s">
        <v>34</v>
      </c>
      <c r="W19" s="280" t="s">
        <v>34</v>
      </c>
      <c r="X19" s="147" t="s">
        <v>34</v>
      </c>
      <c r="Y19" s="147" t="s">
        <v>34</v>
      </c>
      <c r="Z19" s="147" t="s">
        <v>34</v>
      </c>
      <c r="AA19" s="147" t="s">
        <v>34</v>
      </c>
      <c r="AB19" s="147">
        <v>90</v>
      </c>
      <c r="AC19" s="198">
        <v>0</v>
      </c>
      <c r="AD19" s="147" t="s">
        <v>34</v>
      </c>
      <c r="AE19" s="51" t="s">
        <v>34</v>
      </c>
      <c r="AF19" s="147" t="s">
        <v>34</v>
      </c>
      <c r="AG19" s="147" t="s">
        <v>34</v>
      </c>
      <c r="AH19" s="147" t="s">
        <v>34</v>
      </c>
      <c r="AI19" s="147" t="s">
        <v>34</v>
      </c>
      <c r="AJ19" s="114" t="s">
        <v>34</v>
      </c>
      <c r="AK19" s="147" t="s">
        <v>34</v>
      </c>
      <c r="AL19" s="147" t="s">
        <v>34</v>
      </c>
      <c r="AM19" s="147" t="s">
        <v>34</v>
      </c>
      <c r="AN19" s="280" t="s">
        <v>34</v>
      </c>
      <c r="AO19" s="280" t="s">
        <v>34</v>
      </c>
      <c r="AP19" s="147" t="s">
        <v>34</v>
      </c>
      <c r="AQ19" s="280" t="s">
        <v>34</v>
      </c>
      <c r="AR19" s="280" t="s">
        <v>34</v>
      </c>
      <c r="AS19" s="280" t="s">
        <v>34</v>
      </c>
      <c r="AT19" s="280" t="s">
        <v>34</v>
      </c>
      <c r="AU19" s="72">
        <f t="shared" si="1"/>
        <v>90</v>
      </c>
      <c r="AV19" s="75"/>
    </row>
    <row r="20" spans="1:48" x14ac:dyDescent="0.25">
      <c r="A20" s="29" t="s">
        <v>139</v>
      </c>
      <c r="B20" s="274" t="s">
        <v>926</v>
      </c>
      <c r="C20" s="275" t="s">
        <v>927</v>
      </c>
      <c r="D20" s="151"/>
      <c r="E20" s="115"/>
      <c r="F20" s="72"/>
      <c r="G20" s="151"/>
      <c r="H20" s="72">
        <v>11</v>
      </c>
      <c r="I20" s="72">
        <v>5</v>
      </c>
      <c r="J20" s="72">
        <v>6</v>
      </c>
      <c r="K20" s="151" t="s">
        <v>34</v>
      </c>
      <c r="L20" s="147" t="s">
        <v>34</v>
      </c>
      <c r="M20" s="147" t="s">
        <v>34</v>
      </c>
      <c r="N20" s="147" t="s">
        <v>34</v>
      </c>
      <c r="O20" s="147" t="s">
        <v>34</v>
      </c>
      <c r="P20" s="114" t="s">
        <v>34</v>
      </c>
      <c r="Q20" s="147" t="s">
        <v>34</v>
      </c>
      <c r="R20" s="147" t="s">
        <v>34</v>
      </c>
      <c r="S20" s="147" t="s">
        <v>34</v>
      </c>
      <c r="T20" s="280" t="s">
        <v>34</v>
      </c>
      <c r="U20" s="280" t="s">
        <v>34</v>
      </c>
      <c r="V20" s="147" t="s">
        <v>34</v>
      </c>
      <c r="W20" s="280" t="s">
        <v>34</v>
      </c>
      <c r="X20" s="147" t="s">
        <v>34</v>
      </c>
      <c r="Y20" s="147" t="s">
        <v>34</v>
      </c>
      <c r="Z20" s="147" t="s">
        <v>34</v>
      </c>
      <c r="AA20" s="147" t="s">
        <v>34</v>
      </c>
      <c r="AB20" s="147" t="s">
        <v>34</v>
      </c>
      <c r="AC20" s="147" t="s">
        <v>34</v>
      </c>
      <c r="AD20" s="198">
        <v>21</v>
      </c>
      <c r="AE20" s="51">
        <v>90</v>
      </c>
      <c r="AF20" s="147">
        <v>45</v>
      </c>
      <c r="AG20" s="147">
        <v>64</v>
      </c>
      <c r="AH20" s="198">
        <v>3</v>
      </c>
      <c r="AI20" s="198">
        <v>45</v>
      </c>
      <c r="AJ20" s="114" t="s">
        <v>34</v>
      </c>
      <c r="AK20" s="198">
        <v>34</v>
      </c>
      <c r="AL20" s="198">
        <v>14</v>
      </c>
      <c r="AM20" s="198">
        <v>15</v>
      </c>
      <c r="AN20" s="280" t="s">
        <v>34</v>
      </c>
      <c r="AO20" s="280" t="s">
        <v>34</v>
      </c>
      <c r="AP20" s="147">
        <v>90</v>
      </c>
      <c r="AQ20" s="280">
        <v>90</v>
      </c>
      <c r="AR20" s="280" t="s">
        <v>34</v>
      </c>
      <c r="AS20" s="280" t="s">
        <v>34</v>
      </c>
      <c r="AT20" s="280" t="s">
        <v>34</v>
      </c>
      <c r="AU20" s="72">
        <f t="shared" si="1"/>
        <v>511</v>
      </c>
      <c r="AV20" s="75"/>
    </row>
    <row r="21" spans="1:48" x14ac:dyDescent="0.25">
      <c r="A21" s="29" t="s">
        <v>139</v>
      </c>
      <c r="B21" s="274" t="s">
        <v>488</v>
      </c>
      <c r="C21" s="275" t="s">
        <v>928</v>
      </c>
      <c r="D21" s="151"/>
      <c r="E21" s="115"/>
      <c r="F21" s="72">
        <v>7</v>
      </c>
      <c r="G21" s="151">
        <v>2</v>
      </c>
      <c r="H21" s="72">
        <v>32</v>
      </c>
      <c r="I21" s="72">
        <v>24</v>
      </c>
      <c r="J21" s="72">
        <v>9</v>
      </c>
      <c r="K21" s="151">
        <v>90</v>
      </c>
      <c r="L21" s="147">
        <v>90</v>
      </c>
      <c r="M21" s="147">
        <v>90</v>
      </c>
      <c r="N21" s="147">
        <v>90</v>
      </c>
      <c r="O21" s="147">
        <v>90</v>
      </c>
      <c r="P21" s="147">
        <v>90</v>
      </c>
      <c r="Q21" s="147">
        <v>90</v>
      </c>
      <c r="R21" s="198">
        <v>15</v>
      </c>
      <c r="S21" s="147">
        <v>90</v>
      </c>
      <c r="T21" s="280">
        <v>90</v>
      </c>
      <c r="U21" s="280">
        <v>90</v>
      </c>
      <c r="V21" s="147">
        <v>90</v>
      </c>
      <c r="W21" s="280">
        <v>90</v>
      </c>
      <c r="X21" s="147">
        <v>90</v>
      </c>
      <c r="Y21" s="147">
        <v>75</v>
      </c>
      <c r="Z21" s="147" t="s">
        <v>34</v>
      </c>
      <c r="AA21" s="147">
        <v>90</v>
      </c>
      <c r="AB21" s="147">
        <v>90</v>
      </c>
      <c r="AC21" s="147">
        <v>90</v>
      </c>
      <c r="AD21" s="147">
        <v>73</v>
      </c>
      <c r="AE21" s="51" t="s">
        <v>34</v>
      </c>
      <c r="AF21" s="147">
        <v>90</v>
      </c>
      <c r="AG21" s="147">
        <v>90</v>
      </c>
      <c r="AH21" s="147" t="s">
        <v>34</v>
      </c>
      <c r="AI21" s="147">
        <v>90</v>
      </c>
      <c r="AJ21" s="147">
        <v>90</v>
      </c>
      <c r="AK21" s="198">
        <v>34</v>
      </c>
      <c r="AL21" s="198">
        <v>14</v>
      </c>
      <c r="AM21" s="198">
        <v>5</v>
      </c>
      <c r="AN21" s="154">
        <v>22</v>
      </c>
      <c r="AO21" s="154">
        <v>6</v>
      </c>
      <c r="AP21" s="198">
        <v>9</v>
      </c>
      <c r="AQ21" s="154">
        <v>18</v>
      </c>
      <c r="AR21" s="280">
        <v>45</v>
      </c>
      <c r="AS21" s="280">
        <v>90</v>
      </c>
      <c r="AT21" s="154">
        <v>0</v>
      </c>
      <c r="AU21" s="72">
        <f t="shared" si="1"/>
        <v>2206</v>
      </c>
      <c r="AV21" s="75"/>
    </row>
    <row r="22" spans="1:48" x14ac:dyDescent="0.25">
      <c r="A22" s="29" t="s">
        <v>139</v>
      </c>
      <c r="B22" s="274" t="s">
        <v>345</v>
      </c>
      <c r="C22" s="275" t="s">
        <v>4</v>
      </c>
      <c r="D22" s="151">
        <v>5</v>
      </c>
      <c r="E22" s="115"/>
      <c r="F22" s="72">
        <v>6</v>
      </c>
      <c r="G22" s="151"/>
      <c r="H22" s="72">
        <v>35</v>
      </c>
      <c r="I22" s="72">
        <v>32</v>
      </c>
      <c r="J22" s="72">
        <v>3</v>
      </c>
      <c r="K22" s="281">
        <v>14</v>
      </c>
      <c r="L22" s="198">
        <v>31</v>
      </c>
      <c r="M22" s="147">
        <v>61</v>
      </c>
      <c r="N22" s="147">
        <v>74</v>
      </c>
      <c r="O22" s="147">
        <v>90</v>
      </c>
      <c r="P22" s="147">
        <v>90</v>
      </c>
      <c r="Q22" s="147">
        <v>70</v>
      </c>
      <c r="R22" s="147">
        <v>75</v>
      </c>
      <c r="S22" s="147">
        <v>63</v>
      </c>
      <c r="T22" s="280">
        <v>76</v>
      </c>
      <c r="U22" s="280">
        <v>90</v>
      </c>
      <c r="V22" s="147">
        <v>78</v>
      </c>
      <c r="W22" s="280">
        <v>76</v>
      </c>
      <c r="X22" s="147">
        <v>90</v>
      </c>
      <c r="Y22" s="147">
        <v>90</v>
      </c>
      <c r="Z22" s="147">
        <v>90</v>
      </c>
      <c r="AA22" s="147">
        <v>77</v>
      </c>
      <c r="AB22" s="147">
        <v>90</v>
      </c>
      <c r="AC22" s="147">
        <v>90</v>
      </c>
      <c r="AD22" s="147">
        <v>90</v>
      </c>
      <c r="AE22" s="51">
        <v>90</v>
      </c>
      <c r="AF22" s="147">
        <v>78</v>
      </c>
      <c r="AG22" s="147">
        <v>90</v>
      </c>
      <c r="AH22" s="147">
        <v>63</v>
      </c>
      <c r="AI22" s="147">
        <v>45</v>
      </c>
      <c r="AJ22" s="147">
        <v>90</v>
      </c>
      <c r="AK22" s="147" t="s">
        <v>34</v>
      </c>
      <c r="AL22" s="198">
        <v>14</v>
      </c>
      <c r="AM22" s="147">
        <v>65</v>
      </c>
      <c r="AN22" s="280">
        <v>76</v>
      </c>
      <c r="AO22" s="280">
        <v>90</v>
      </c>
      <c r="AP22" s="147">
        <v>90</v>
      </c>
      <c r="AQ22" s="280">
        <v>90</v>
      </c>
      <c r="AR22" s="280">
        <v>90</v>
      </c>
      <c r="AS22" s="280">
        <v>90</v>
      </c>
      <c r="AT22" s="280">
        <v>90</v>
      </c>
      <c r="AU22" s="72">
        <f t="shared" si="1"/>
        <v>2656</v>
      </c>
      <c r="AV22" s="75"/>
    </row>
    <row r="23" spans="1:48" x14ac:dyDescent="0.25">
      <c r="A23" s="29" t="s">
        <v>139</v>
      </c>
      <c r="B23" s="274" t="s">
        <v>493</v>
      </c>
      <c r="C23" s="275" t="s">
        <v>929</v>
      </c>
      <c r="D23" s="151"/>
      <c r="E23" s="115"/>
      <c r="F23" s="72"/>
      <c r="G23" s="151"/>
      <c r="H23" s="72">
        <v>8</v>
      </c>
      <c r="I23" s="72">
        <v>2</v>
      </c>
      <c r="J23" s="72">
        <v>8</v>
      </c>
      <c r="K23" s="281">
        <v>0</v>
      </c>
      <c r="L23" s="198">
        <v>21</v>
      </c>
      <c r="M23" s="198">
        <v>39</v>
      </c>
      <c r="N23" s="147" t="s">
        <v>34</v>
      </c>
      <c r="O23" s="198">
        <v>32</v>
      </c>
      <c r="P23" s="147" t="s">
        <v>34</v>
      </c>
      <c r="Q23" s="198">
        <v>20</v>
      </c>
      <c r="R23" s="147">
        <v>63</v>
      </c>
      <c r="S23" s="198">
        <v>27</v>
      </c>
      <c r="T23" s="280">
        <v>76</v>
      </c>
      <c r="U23" s="154">
        <v>0</v>
      </c>
      <c r="V23" s="147" t="s">
        <v>34</v>
      </c>
      <c r="W23" s="280" t="s">
        <v>34</v>
      </c>
      <c r="X23" s="198">
        <v>38</v>
      </c>
      <c r="Y23" s="147" t="s">
        <v>34</v>
      </c>
      <c r="Z23" s="147" t="s">
        <v>34</v>
      </c>
      <c r="AA23" s="147" t="s">
        <v>34</v>
      </c>
      <c r="AB23" s="147" t="s">
        <v>34</v>
      </c>
      <c r="AC23" s="147" t="s">
        <v>34</v>
      </c>
      <c r="AD23" s="147" t="s">
        <v>34</v>
      </c>
      <c r="AE23" s="51" t="s">
        <v>34</v>
      </c>
      <c r="AF23" s="147" t="s">
        <v>34</v>
      </c>
      <c r="AG23" s="147" t="s">
        <v>34</v>
      </c>
      <c r="AH23" s="147" t="s">
        <v>34</v>
      </c>
      <c r="AI23" s="147" t="s">
        <v>34</v>
      </c>
      <c r="AJ23" s="147" t="s">
        <v>34</v>
      </c>
      <c r="AK23" s="147" t="s">
        <v>34</v>
      </c>
      <c r="AL23" s="147" t="s">
        <v>34</v>
      </c>
      <c r="AM23" s="147" t="s">
        <v>34</v>
      </c>
      <c r="AN23" s="280" t="s">
        <v>34</v>
      </c>
      <c r="AO23" s="280" t="s">
        <v>34</v>
      </c>
      <c r="AP23" s="147" t="s">
        <v>34</v>
      </c>
      <c r="AQ23" s="280" t="s">
        <v>34</v>
      </c>
      <c r="AR23" s="280" t="s">
        <v>34</v>
      </c>
      <c r="AS23" s="280" t="s">
        <v>34</v>
      </c>
      <c r="AT23" s="280" t="s">
        <v>34</v>
      </c>
      <c r="AU23" s="72">
        <f t="shared" si="1"/>
        <v>316</v>
      </c>
      <c r="AV23" s="75"/>
    </row>
    <row r="24" spans="1:48" x14ac:dyDescent="0.25">
      <c r="A24" s="29" t="s">
        <v>139</v>
      </c>
      <c r="B24" s="274" t="s">
        <v>495</v>
      </c>
      <c r="C24" s="275" t="s">
        <v>496</v>
      </c>
      <c r="D24" s="151">
        <v>1</v>
      </c>
      <c r="E24" s="115"/>
      <c r="F24" s="72">
        <v>2</v>
      </c>
      <c r="G24" s="151"/>
      <c r="H24" s="72">
        <v>18</v>
      </c>
      <c r="I24" s="72">
        <v>8</v>
      </c>
      <c r="J24" s="72">
        <v>15</v>
      </c>
      <c r="K24" s="281">
        <v>33</v>
      </c>
      <c r="L24" s="198">
        <v>13</v>
      </c>
      <c r="M24" s="198">
        <v>20</v>
      </c>
      <c r="N24" s="198">
        <v>23</v>
      </c>
      <c r="O24" s="198">
        <v>0</v>
      </c>
      <c r="P24" s="198">
        <v>14</v>
      </c>
      <c r="Q24" s="198">
        <v>20</v>
      </c>
      <c r="R24" s="147">
        <v>90</v>
      </c>
      <c r="S24" s="147">
        <v>57</v>
      </c>
      <c r="T24" s="154">
        <v>0</v>
      </c>
      <c r="U24" s="154">
        <v>20</v>
      </c>
      <c r="V24" s="147">
        <v>58</v>
      </c>
      <c r="W24" s="280">
        <v>60</v>
      </c>
      <c r="X24" s="147">
        <v>61</v>
      </c>
      <c r="Y24" s="147">
        <v>52</v>
      </c>
      <c r="Z24" s="198">
        <v>17</v>
      </c>
      <c r="AA24" s="147" t="s">
        <v>34</v>
      </c>
      <c r="AB24" s="147" t="s">
        <v>34</v>
      </c>
      <c r="AC24" s="147" t="s">
        <v>34</v>
      </c>
      <c r="AD24" s="147" t="s">
        <v>34</v>
      </c>
      <c r="AE24" s="51" t="s">
        <v>34</v>
      </c>
      <c r="AF24" s="147" t="s">
        <v>34</v>
      </c>
      <c r="AG24" s="147" t="s">
        <v>34</v>
      </c>
      <c r="AH24" s="147" t="s">
        <v>34</v>
      </c>
      <c r="AI24" s="147" t="s">
        <v>34</v>
      </c>
      <c r="AJ24" s="147" t="s">
        <v>34</v>
      </c>
      <c r="AK24" s="147">
        <v>56</v>
      </c>
      <c r="AL24" s="147">
        <v>58</v>
      </c>
      <c r="AM24" s="198">
        <v>0</v>
      </c>
      <c r="AN24" s="154">
        <v>14</v>
      </c>
      <c r="AO24" s="154">
        <v>0</v>
      </c>
      <c r="AP24" s="198">
        <v>0</v>
      </c>
      <c r="AQ24" s="280" t="s">
        <v>34</v>
      </c>
      <c r="AR24" s="280" t="s">
        <v>34</v>
      </c>
      <c r="AS24" s="280" t="s">
        <v>34</v>
      </c>
      <c r="AT24" s="154">
        <v>13</v>
      </c>
      <c r="AU24" s="72">
        <f t="shared" si="1"/>
        <v>679</v>
      </c>
      <c r="AV24" s="75"/>
    </row>
    <row r="25" spans="1:48" x14ac:dyDescent="0.25">
      <c r="A25" s="29" t="s">
        <v>139</v>
      </c>
      <c r="B25" s="274" t="s">
        <v>346</v>
      </c>
      <c r="C25" s="275" t="s">
        <v>399</v>
      </c>
      <c r="D25" s="151"/>
      <c r="E25" s="115"/>
      <c r="F25" s="72">
        <v>1</v>
      </c>
      <c r="G25" s="151"/>
      <c r="H25" s="72">
        <v>7</v>
      </c>
      <c r="I25" s="72">
        <v>1</v>
      </c>
      <c r="J25" s="72">
        <v>8</v>
      </c>
      <c r="K25" s="151" t="s">
        <v>34</v>
      </c>
      <c r="L25" s="147" t="s">
        <v>34</v>
      </c>
      <c r="M25" s="147" t="s">
        <v>34</v>
      </c>
      <c r="N25" s="147" t="s">
        <v>34</v>
      </c>
      <c r="O25" s="147" t="s">
        <v>34</v>
      </c>
      <c r="P25" s="114" t="s">
        <v>34</v>
      </c>
      <c r="Q25" s="147" t="s">
        <v>34</v>
      </c>
      <c r="R25" s="147" t="s">
        <v>34</v>
      </c>
      <c r="S25" s="147" t="s">
        <v>34</v>
      </c>
      <c r="T25" s="280" t="s">
        <v>34</v>
      </c>
      <c r="U25" s="280" t="s">
        <v>34</v>
      </c>
      <c r="V25" s="147" t="s">
        <v>34</v>
      </c>
      <c r="W25" s="280" t="s">
        <v>34</v>
      </c>
      <c r="X25" s="147" t="s">
        <v>34</v>
      </c>
      <c r="Y25" s="147" t="s">
        <v>34</v>
      </c>
      <c r="Z25" s="147" t="s">
        <v>34</v>
      </c>
      <c r="AA25" s="147" t="s">
        <v>34</v>
      </c>
      <c r="AB25" s="147" t="s">
        <v>34</v>
      </c>
      <c r="AC25" s="147" t="s">
        <v>34</v>
      </c>
      <c r="AD25" s="147" t="s">
        <v>34</v>
      </c>
      <c r="AE25" s="51" t="s">
        <v>34</v>
      </c>
      <c r="AF25" s="147" t="s">
        <v>34</v>
      </c>
      <c r="AG25" s="147" t="s">
        <v>34</v>
      </c>
      <c r="AH25" s="147" t="s">
        <v>34</v>
      </c>
      <c r="AI25" s="198">
        <v>18</v>
      </c>
      <c r="AJ25" s="198">
        <v>0</v>
      </c>
      <c r="AK25" s="147" t="s">
        <v>34</v>
      </c>
      <c r="AL25" s="147" t="s">
        <v>34</v>
      </c>
      <c r="AM25" s="147" t="s">
        <v>34</v>
      </c>
      <c r="AN25" s="154">
        <v>0</v>
      </c>
      <c r="AO25" s="154">
        <v>17</v>
      </c>
      <c r="AP25" s="198">
        <v>27</v>
      </c>
      <c r="AQ25" s="280">
        <v>72</v>
      </c>
      <c r="AR25" s="154">
        <v>15</v>
      </c>
      <c r="AS25" s="154">
        <v>34</v>
      </c>
      <c r="AT25" s="154">
        <v>33</v>
      </c>
      <c r="AU25" s="72">
        <f t="shared" si="1"/>
        <v>216</v>
      </c>
      <c r="AV25" s="75"/>
    </row>
    <row r="26" spans="1:48" x14ac:dyDescent="0.25">
      <c r="A26" s="29" t="s">
        <v>139</v>
      </c>
      <c r="B26" s="274" t="s">
        <v>516</v>
      </c>
      <c r="C26" s="275" t="s">
        <v>517</v>
      </c>
      <c r="D26" s="151"/>
      <c r="E26" s="115"/>
      <c r="F26" s="72">
        <v>2</v>
      </c>
      <c r="G26" s="151">
        <v>1</v>
      </c>
      <c r="H26" s="72">
        <v>14</v>
      </c>
      <c r="I26" s="72">
        <v>10</v>
      </c>
      <c r="J26" s="72">
        <v>5</v>
      </c>
      <c r="K26" s="151" t="s">
        <v>34</v>
      </c>
      <c r="L26" s="147" t="s">
        <v>34</v>
      </c>
      <c r="M26" s="147" t="s">
        <v>34</v>
      </c>
      <c r="N26" s="147" t="s">
        <v>34</v>
      </c>
      <c r="O26" s="147" t="s">
        <v>34</v>
      </c>
      <c r="P26" s="114" t="s">
        <v>34</v>
      </c>
      <c r="Q26" s="147" t="s">
        <v>34</v>
      </c>
      <c r="R26" s="147" t="s">
        <v>34</v>
      </c>
      <c r="S26" s="147" t="s">
        <v>34</v>
      </c>
      <c r="T26" s="280" t="s">
        <v>34</v>
      </c>
      <c r="U26" s="280" t="s">
        <v>34</v>
      </c>
      <c r="V26" s="147" t="s">
        <v>34</v>
      </c>
      <c r="W26" s="280" t="s">
        <v>34</v>
      </c>
      <c r="X26" s="147" t="s">
        <v>34</v>
      </c>
      <c r="Y26" s="147" t="s">
        <v>34</v>
      </c>
      <c r="Z26" s="147" t="s">
        <v>34</v>
      </c>
      <c r="AA26" s="147" t="s">
        <v>34</v>
      </c>
      <c r="AB26" s="147" t="s">
        <v>34</v>
      </c>
      <c r="AC26" s="147" t="s">
        <v>34</v>
      </c>
      <c r="AD26" s="198">
        <v>31</v>
      </c>
      <c r="AE26" s="195">
        <v>30</v>
      </c>
      <c r="AF26" s="198">
        <v>0</v>
      </c>
      <c r="AG26" s="198">
        <v>26</v>
      </c>
      <c r="AH26" s="147">
        <v>78</v>
      </c>
      <c r="AI26" s="147">
        <v>72</v>
      </c>
      <c r="AJ26" s="147">
        <v>65</v>
      </c>
      <c r="AK26" s="147">
        <v>56</v>
      </c>
      <c r="AL26" s="147">
        <v>76</v>
      </c>
      <c r="AM26" s="147">
        <v>75</v>
      </c>
      <c r="AN26" s="280">
        <v>68</v>
      </c>
      <c r="AO26" s="280" t="s">
        <v>34</v>
      </c>
      <c r="AP26" s="147">
        <v>63</v>
      </c>
      <c r="AQ26" s="280" t="s">
        <v>34</v>
      </c>
      <c r="AR26" s="154">
        <v>45</v>
      </c>
      <c r="AS26" s="280">
        <v>90</v>
      </c>
      <c r="AT26" s="280">
        <v>52</v>
      </c>
      <c r="AU26" s="72">
        <f t="shared" si="1"/>
        <v>827</v>
      </c>
      <c r="AV26" s="75"/>
    </row>
    <row r="27" spans="1:48" x14ac:dyDescent="0.25">
      <c r="A27" s="29" t="s">
        <v>139</v>
      </c>
      <c r="B27" s="274" t="s">
        <v>348</v>
      </c>
      <c r="C27" s="275" t="s">
        <v>12</v>
      </c>
      <c r="D27" s="151">
        <v>2</v>
      </c>
      <c r="E27" s="115"/>
      <c r="F27" s="72">
        <v>5</v>
      </c>
      <c r="G27" s="151"/>
      <c r="H27" s="72">
        <v>32</v>
      </c>
      <c r="I27" s="72">
        <v>27</v>
      </c>
      <c r="J27" s="72">
        <v>5</v>
      </c>
      <c r="K27" s="151">
        <v>57</v>
      </c>
      <c r="L27" s="147">
        <v>77</v>
      </c>
      <c r="M27" s="147">
        <v>61</v>
      </c>
      <c r="N27" s="147">
        <v>66</v>
      </c>
      <c r="O27" s="147">
        <v>58</v>
      </c>
      <c r="P27" s="147">
        <v>90</v>
      </c>
      <c r="Q27" s="147">
        <v>70</v>
      </c>
      <c r="R27" s="147">
        <v>75</v>
      </c>
      <c r="S27" s="147">
        <v>90</v>
      </c>
      <c r="T27" s="280">
        <v>90</v>
      </c>
      <c r="U27" s="280">
        <v>70</v>
      </c>
      <c r="V27" s="198">
        <v>32</v>
      </c>
      <c r="W27" s="154">
        <v>30</v>
      </c>
      <c r="X27" s="198">
        <v>39</v>
      </c>
      <c r="Y27" s="198">
        <v>26</v>
      </c>
      <c r="Z27" s="147" t="s">
        <v>34</v>
      </c>
      <c r="AA27" s="147" t="s">
        <v>34</v>
      </c>
      <c r="AB27" s="147" t="s">
        <v>34</v>
      </c>
      <c r="AC27" s="198">
        <v>22</v>
      </c>
      <c r="AD27" s="147">
        <v>69</v>
      </c>
      <c r="AE27" s="51">
        <v>66</v>
      </c>
      <c r="AF27" s="147">
        <v>63</v>
      </c>
      <c r="AG27" s="147">
        <v>76</v>
      </c>
      <c r="AH27" s="147">
        <v>90</v>
      </c>
      <c r="AI27" s="147">
        <v>90</v>
      </c>
      <c r="AJ27" s="147">
        <v>90</v>
      </c>
      <c r="AK27" s="147">
        <v>66</v>
      </c>
      <c r="AL27" s="147">
        <v>90</v>
      </c>
      <c r="AM27" s="147">
        <v>85</v>
      </c>
      <c r="AN27" s="280">
        <v>68</v>
      </c>
      <c r="AO27" s="280">
        <v>84</v>
      </c>
      <c r="AP27" s="147">
        <v>81</v>
      </c>
      <c r="AQ27" s="280">
        <v>72</v>
      </c>
      <c r="AR27" s="280">
        <v>75</v>
      </c>
      <c r="AS27" s="280" t="s">
        <v>34</v>
      </c>
      <c r="AT27" s="280">
        <v>77</v>
      </c>
      <c r="AU27" s="72">
        <f t="shared" si="1"/>
        <v>2195</v>
      </c>
      <c r="AV27" s="75"/>
    </row>
    <row r="28" spans="1:48" x14ac:dyDescent="0.25">
      <c r="A28" s="29" t="s">
        <v>139</v>
      </c>
      <c r="B28" s="274" t="s">
        <v>522</v>
      </c>
      <c r="C28" s="275" t="s">
        <v>527</v>
      </c>
      <c r="D28" s="151"/>
      <c r="E28" s="115"/>
      <c r="F28" s="72"/>
      <c r="G28" s="151"/>
      <c r="H28" s="72">
        <v>3</v>
      </c>
      <c r="I28" s="72">
        <v>1</v>
      </c>
      <c r="J28" s="72">
        <v>2</v>
      </c>
      <c r="K28" s="151" t="s">
        <v>34</v>
      </c>
      <c r="L28" s="147" t="s">
        <v>34</v>
      </c>
      <c r="M28" s="147" t="s">
        <v>34</v>
      </c>
      <c r="N28" s="147" t="s">
        <v>34</v>
      </c>
      <c r="O28" s="147" t="s">
        <v>34</v>
      </c>
      <c r="P28" s="147" t="s">
        <v>34</v>
      </c>
      <c r="Q28" s="147" t="s">
        <v>34</v>
      </c>
      <c r="R28" s="147" t="s">
        <v>34</v>
      </c>
      <c r="S28" s="147" t="s">
        <v>34</v>
      </c>
      <c r="T28" s="280" t="s">
        <v>34</v>
      </c>
      <c r="U28" s="280" t="s">
        <v>34</v>
      </c>
      <c r="V28" s="147" t="s">
        <v>34</v>
      </c>
      <c r="W28" s="280" t="s">
        <v>34</v>
      </c>
      <c r="X28" s="147" t="s">
        <v>34</v>
      </c>
      <c r="Y28" s="147" t="s">
        <v>34</v>
      </c>
      <c r="Z28" s="147" t="s">
        <v>34</v>
      </c>
      <c r="AA28" s="147" t="s">
        <v>34</v>
      </c>
      <c r="AB28" s="147" t="s">
        <v>34</v>
      </c>
      <c r="AC28" s="147" t="s">
        <v>34</v>
      </c>
      <c r="AD28" s="147" t="s">
        <v>34</v>
      </c>
      <c r="AE28" s="51" t="s">
        <v>34</v>
      </c>
      <c r="AF28" s="147" t="s">
        <v>34</v>
      </c>
      <c r="AG28" s="147" t="s">
        <v>34</v>
      </c>
      <c r="AH28" s="147" t="s">
        <v>34</v>
      </c>
      <c r="AI28" s="147" t="s">
        <v>34</v>
      </c>
      <c r="AJ28" s="147" t="s">
        <v>34</v>
      </c>
      <c r="AK28" s="147" t="s">
        <v>34</v>
      </c>
      <c r="AL28" s="147" t="s">
        <v>34</v>
      </c>
      <c r="AM28" s="147" t="s">
        <v>34</v>
      </c>
      <c r="AN28" s="280" t="s">
        <v>34</v>
      </c>
      <c r="AO28" s="280" t="s">
        <v>34</v>
      </c>
      <c r="AP28" s="147" t="s">
        <v>34</v>
      </c>
      <c r="AQ28" s="154">
        <v>18</v>
      </c>
      <c r="AR28" s="280" t="s">
        <v>34</v>
      </c>
      <c r="AS28" s="154">
        <v>34</v>
      </c>
      <c r="AT28" s="280">
        <v>57</v>
      </c>
      <c r="AU28" s="72">
        <f t="shared" si="1"/>
        <v>109</v>
      </c>
      <c r="AV28" s="75"/>
    </row>
    <row r="29" spans="1:48" x14ac:dyDescent="0.25">
      <c r="A29" s="29" t="s">
        <v>139</v>
      </c>
      <c r="B29" s="274" t="s">
        <v>489</v>
      </c>
      <c r="C29" s="275" t="s">
        <v>933</v>
      </c>
      <c r="D29" s="151">
        <v>1</v>
      </c>
      <c r="E29" s="115"/>
      <c r="F29" s="72">
        <v>1</v>
      </c>
      <c r="G29" s="151"/>
      <c r="H29" s="72">
        <v>18</v>
      </c>
      <c r="I29" s="72">
        <v>13</v>
      </c>
      <c r="J29" s="72">
        <v>7</v>
      </c>
      <c r="K29" s="151">
        <v>65</v>
      </c>
      <c r="L29" s="147" t="s">
        <v>34</v>
      </c>
      <c r="M29" s="147">
        <v>45</v>
      </c>
      <c r="N29" s="147" t="s">
        <v>34</v>
      </c>
      <c r="O29" s="147" t="s">
        <v>34</v>
      </c>
      <c r="P29" s="198">
        <v>8</v>
      </c>
      <c r="Q29" s="147" t="s">
        <v>34</v>
      </c>
      <c r="R29" s="147" t="s">
        <v>34</v>
      </c>
      <c r="S29" s="147" t="s">
        <v>34</v>
      </c>
      <c r="T29" s="280" t="s">
        <v>34</v>
      </c>
      <c r="U29" s="280" t="s">
        <v>34</v>
      </c>
      <c r="V29" s="147" t="s">
        <v>34</v>
      </c>
      <c r="W29" s="154">
        <v>14</v>
      </c>
      <c r="X29" s="147" t="s">
        <v>34</v>
      </c>
      <c r="Y29" s="147" t="s">
        <v>34</v>
      </c>
      <c r="Z29" s="147" t="s">
        <v>34</v>
      </c>
      <c r="AA29" s="198">
        <v>4</v>
      </c>
      <c r="AB29" s="198">
        <v>0</v>
      </c>
      <c r="AC29" s="147" t="s">
        <v>34</v>
      </c>
      <c r="AD29" s="147" t="s">
        <v>34</v>
      </c>
      <c r="AE29" s="51" t="s">
        <v>34</v>
      </c>
      <c r="AF29" s="147" t="s">
        <v>34</v>
      </c>
      <c r="AG29" s="198">
        <v>0</v>
      </c>
      <c r="AH29" s="147">
        <v>90</v>
      </c>
      <c r="AI29" s="147">
        <v>90</v>
      </c>
      <c r="AJ29" s="147">
        <v>90</v>
      </c>
      <c r="AK29" s="147">
        <v>77</v>
      </c>
      <c r="AL29" s="147">
        <v>76</v>
      </c>
      <c r="AM29" s="147">
        <v>90</v>
      </c>
      <c r="AN29" s="154">
        <v>34</v>
      </c>
      <c r="AO29" s="280">
        <v>84</v>
      </c>
      <c r="AP29" s="147">
        <v>81</v>
      </c>
      <c r="AQ29" s="280">
        <v>72</v>
      </c>
      <c r="AR29" s="154">
        <v>45</v>
      </c>
      <c r="AS29" s="280">
        <v>56</v>
      </c>
      <c r="AT29" s="280">
        <v>57</v>
      </c>
      <c r="AU29" s="72">
        <f t="shared" si="1"/>
        <v>1078</v>
      </c>
      <c r="AV29" s="75"/>
    </row>
    <row r="30" spans="1:48" x14ac:dyDescent="0.25">
      <c r="A30" s="29" t="s">
        <v>139</v>
      </c>
      <c r="B30" s="274" t="s">
        <v>510</v>
      </c>
      <c r="C30" s="275" t="s">
        <v>502</v>
      </c>
      <c r="D30" s="151"/>
      <c r="E30" s="115"/>
      <c r="F30" s="72"/>
      <c r="G30" s="151"/>
      <c r="H30" s="72">
        <v>7</v>
      </c>
      <c r="I30" s="72">
        <v>4</v>
      </c>
      <c r="J30" s="72">
        <v>6</v>
      </c>
      <c r="K30" s="151" t="s">
        <v>34</v>
      </c>
      <c r="L30" s="147" t="s">
        <v>34</v>
      </c>
      <c r="M30" s="147" t="s">
        <v>34</v>
      </c>
      <c r="N30" s="147" t="s">
        <v>34</v>
      </c>
      <c r="O30" s="147" t="s">
        <v>34</v>
      </c>
      <c r="P30" s="147" t="s">
        <v>34</v>
      </c>
      <c r="Q30" s="147" t="s">
        <v>34</v>
      </c>
      <c r="R30" s="147" t="s">
        <v>34</v>
      </c>
      <c r="S30" s="147" t="s">
        <v>34</v>
      </c>
      <c r="T30" s="280" t="s">
        <v>34</v>
      </c>
      <c r="U30" s="280" t="s">
        <v>34</v>
      </c>
      <c r="V30" s="198">
        <v>12</v>
      </c>
      <c r="W30" s="280" t="s">
        <v>34</v>
      </c>
      <c r="X30" s="147" t="s">
        <v>34</v>
      </c>
      <c r="Y30" s="198">
        <v>0</v>
      </c>
      <c r="Z30" s="147">
        <v>73</v>
      </c>
      <c r="AA30" s="147">
        <v>64</v>
      </c>
      <c r="AB30" s="147">
        <v>90</v>
      </c>
      <c r="AC30" s="147">
        <v>68</v>
      </c>
      <c r="AD30" s="198">
        <v>0</v>
      </c>
      <c r="AE30" s="195">
        <v>24</v>
      </c>
      <c r="AF30" s="198">
        <v>12</v>
      </c>
      <c r="AG30" s="147" t="s">
        <v>34</v>
      </c>
      <c r="AH30" s="147" t="s">
        <v>34</v>
      </c>
      <c r="AI30" s="147" t="s">
        <v>34</v>
      </c>
      <c r="AJ30" s="147" t="s">
        <v>34</v>
      </c>
      <c r="AK30" s="147" t="s">
        <v>34</v>
      </c>
      <c r="AL30" s="147" t="s">
        <v>34</v>
      </c>
      <c r="AM30" s="147" t="s">
        <v>34</v>
      </c>
      <c r="AN30" s="280" t="s">
        <v>34</v>
      </c>
      <c r="AO30" s="280" t="s">
        <v>34</v>
      </c>
      <c r="AP30" s="147" t="s">
        <v>34</v>
      </c>
      <c r="AQ30" s="280" t="s">
        <v>34</v>
      </c>
      <c r="AR30" s="280" t="s">
        <v>34</v>
      </c>
      <c r="AS30" s="154">
        <v>0</v>
      </c>
      <c r="AT30" s="280" t="s">
        <v>34</v>
      </c>
      <c r="AU30" s="72">
        <f t="shared" si="1"/>
        <v>343</v>
      </c>
      <c r="AV30" s="75"/>
    </row>
    <row r="31" spans="1:48" x14ac:dyDescent="0.25">
      <c r="A31" s="29" t="s">
        <v>139</v>
      </c>
      <c r="B31" s="274" t="s">
        <v>351</v>
      </c>
      <c r="C31" s="275" t="s">
        <v>19</v>
      </c>
      <c r="D31" s="151"/>
      <c r="E31" s="115"/>
      <c r="F31" s="72">
        <v>1</v>
      </c>
      <c r="G31" s="151"/>
      <c r="H31" s="72">
        <v>3</v>
      </c>
      <c r="I31" s="72">
        <v>0</v>
      </c>
      <c r="J31" s="72">
        <v>6</v>
      </c>
      <c r="K31" s="151" t="s">
        <v>34</v>
      </c>
      <c r="L31" s="147" t="s">
        <v>34</v>
      </c>
      <c r="M31" s="147" t="s">
        <v>34</v>
      </c>
      <c r="N31" s="147" t="s">
        <v>34</v>
      </c>
      <c r="O31" s="147" t="s">
        <v>34</v>
      </c>
      <c r="P31" s="147" t="s">
        <v>34</v>
      </c>
      <c r="Q31" s="147" t="s">
        <v>34</v>
      </c>
      <c r="R31" s="198">
        <v>0</v>
      </c>
      <c r="S31" s="147" t="s">
        <v>34</v>
      </c>
      <c r="T31" s="154">
        <v>10</v>
      </c>
      <c r="U31" s="280" t="s">
        <v>34</v>
      </c>
      <c r="V31" s="147" t="s">
        <v>34</v>
      </c>
      <c r="W31" s="280" t="s">
        <v>34</v>
      </c>
      <c r="X31" s="147" t="s">
        <v>34</v>
      </c>
      <c r="Y31" s="147" t="s">
        <v>34</v>
      </c>
      <c r="Z31" s="147" t="s">
        <v>34</v>
      </c>
      <c r="AA31" s="147" t="s">
        <v>34</v>
      </c>
      <c r="AB31" s="198">
        <v>22</v>
      </c>
      <c r="AC31" s="147" t="s">
        <v>34</v>
      </c>
      <c r="AD31" s="147" t="s">
        <v>34</v>
      </c>
      <c r="AE31" s="51" t="s">
        <v>34</v>
      </c>
      <c r="AF31" s="147" t="s">
        <v>34</v>
      </c>
      <c r="AG31" s="147" t="s">
        <v>34</v>
      </c>
      <c r="AH31" s="198">
        <v>0</v>
      </c>
      <c r="AI31" s="147" t="s">
        <v>34</v>
      </c>
      <c r="AJ31" s="147" t="s">
        <v>34</v>
      </c>
      <c r="AK31" s="147" t="s">
        <v>34</v>
      </c>
      <c r="AL31" s="147" t="s">
        <v>34</v>
      </c>
      <c r="AM31" s="147" t="s">
        <v>34</v>
      </c>
      <c r="AN31" s="280" t="s">
        <v>34</v>
      </c>
      <c r="AO31" s="280" t="s">
        <v>34</v>
      </c>
      <c r="AP31" s="147" t="s">
        <v>34</v>
      </c>
      <c r="AQ31" s="154">
        <v>0</v>
      </c>
      <c r="AR31" s="280" t="s">
        <v>34</v>
      </c>
      <c r="AS31" s="154">
        <v>15</v>
      </c>
      <c r="AT31" s="280" t="s">
        <v>34</v>
      </c>
      <c r="AU31" s="72">
        <f t="shared" si="1"/>
        <v>47</v>
      </c>
      <c r="AV31" s="75"/>
    </row>
    <row r="32" spans="1:48" x14ac:dyDescent="0.25">
      <c r="A32" s="29" t="s">
        <v>139</v>
      </c>
      <c r="B32" s="274" t="s">
        <v>482</v>
      </c>
      <c r="C32" s="275" t="s">
        <v>937</v>
      </c>
      <c r="D32" s="151">
        <v>1</v>
      </c>
      <c r="E32" s="115"/>
      <c r="F32" s="72">
        <v>4</v>
      </c>
      <c r="G32" s="151"/>
      <c r="H32" s="72">
        <v>25</v>
      </c>
      <c r="I32" s="72">
        <v>11</v>
      </c>
      <c r="J32" s="72">
        <v>14</v>
      </c>
      <c r="K32" s="151" t="s">
        <v>34</v>
      </c>
      <c r="L32" s="147" t="s">
        <v>34</v>
      </c>
      <c r="M32" s="147" t="s">
        <v>34</v>
      </c>
      <c r="N32" s="147" t="s">
        <v>34</v>
      </c>
      <c r="O32" s="198">
        <v>15</v>
      </c>
      <c r="P32" s="198">
        <v>45</v>
      </c>
      <c r="Q32" s="198">
        <v>20</v>
      </c>
      <c r="R32" s="198">
        <v>38</v>
      </c>
      <c r="S32" s="198">
        <v>33</v>
      </c>
      <c r="T32" s="280">
        <v>90</v>
      </c>
      <c r="U32" s="280">
        <v>79</v>
      </c>
      <c r="V32" s="147">
        <v>78</v>
      </c>
      <c r="W32" s="280">
        <v>90</v>
      </c>
      <c r="X32" s="147">
        <v>76</v>
      </c>
      <c r="Y32" s="147">
        <v>90</v>
      </c>
      <c r="Z32" s="147">
        <v>68</v>
      </c>
      <c r="AA32" s="147" t="s">
        <v>34</v>
      </c>
      <c r="AB32" s="147" t="s">
        <v>34</v>
      </c>
      <c r="AC32" s="147" t="s">
        <v>34</v>
      </c>
      <c r="AD32" s="198">
        <v>31</v>
      </c>
      <c r="AE32" s="51">
        <v>75</v>
      </c>
      <c r="AF32" s="198">
        <v>27</v>
      </c>
      <c r="AG32" s="198">
        <v>6</v>
      </c>
      <c r="AH32" s="198">
        <v>12</v>
      </c>
      <c r="AI32" s="198">
        <v>18</v>
      </c>
      <c r="AJ32" s="198">
        <v>25</v>
      </c>
      <c r="AK32" s="198">
        <v>13</v>
      </c>
      <c r="AL32" s="198">
        <v>1</v>
      </c>
      <c r="AM32" s="147">
        <v>90</v>
      </c>
      <c r="AN32" s="280">
        <v>68</v>
      </c>
      <c r="AO32" s="280">
        <v>73</v>
      </c>
      <c r="AP32" s="147" t="s">
        <v>34</v>
      </c>
      <c r="AQ32" s="280" t="s">
        <v>34</v>
      </c>
      <c r="AR32" s="280" t="s">
        <v>34</v>
      </c>
      <c r="AS32" s="280" t="s">
        <v>34</v>
      </c>
      <c r="AT32" s="154">
        <v>33</v>
      </c>
      <c r="AU32" s="72">
        <f t="shared" si="1"/>
        <v>1194</v>
      </c>
      <c r="AV32" s="75"/>
    </row>
    <row r="33" spans="1:48" x14ac:dyDescent="0.25">
      <c r="A33" s="29" t="s">
        <v>139</v>
      </c>
      <c r="B33" s="274" t="s">
        <v>486</v>
      </c>
      <c r="C33" s="275" t="s">
        <v>938</v>
      </c>
      <c r="D33" s="151">
        <v>1</v>
      </c>
      <c r="E33" s="115"/>
      <c r="F33" s="72">
        <v>3</v>
      </c>
      <c r="G33" s="151"/>
      <c r="H33" s="72">
        <v>27</v>
      </c>
      <c r="I33" s="72">
        <v>12</v>
      </c>
      <c r="J33" s="72">
        <v>21</v>
      </c>
      <c r="K33" s="151">
        <v>76</v>
      </c>
      <c r="L33" s="147">
        <v>69</v>
      </c>
      <c r="M33" s="198">
        <v>0</v>
      </c>
      <c r="N33" s="198">
        <v>16</v>
      </c>
      <c r="O33" s="147">
        <v>75</v>
      </c>
      <c r="P33" s="198">
        <v>3</v>
      </c>
      <c r="Q33" s="147" t="s">
        <v>34</v>
      </c>
      <c r="R33" s="198">
        <v>15</v>
      </c>
      <c r="S33" s="198">
        <v>27</v>
      </c>
      <c r="T33" s="154">
        <v>14</v>
      </c>
      <c r="U33" s="280" t="s">
        <v>34</v>
      </c>
      <c r="V33" s="198">
        <v>12</v>
      </c>
      <c r="W33" s="154">
        <v>30</v>
      </c>
      <c r="X33" s="147">
        <v>52</v>
      </c>
      <c r="Y33" s="198">
        <v>12</v>
      </c>
      <c r="Z33" s="198">
        <v>17</v>
      </c>
      <c r="AA33" s="198">
        <v>26</v>
      </c>
      <c r="AB33" s="198">
        <v>0</v>
      </c>
      <c r="AC33" s="147">
        <v>90</v>
      </c>
      <c r="AD33" s="147">
        <v>90</v>
      </c>
      <c r="AE33" s="51">
        <v>60</v>
      </c>
      <c r="AF33" s="198">
        <v>45</v>
      </c>
      <c r="AG33" s="198">
        <v>14</v>
      </c>
      <c r="AH33" s="147">
        <v>87</v>
      </c>
      <c r="AI33" s="198">
        <v>0</v>
      </c>
      <c r="AJ33" s="198">
        <v>0</v>
      </c>
      <c r="AK33" s="147">
        <v>90</v>
      </c>
      <c r="AL33" s="147">
        <v>89</v>
      </c>
      <c r="AM33" s="147">
        <v>90</v>
      </c>
      <c r="AN33" s="280">
        <v>90</v>
      </c>
      <c r="AO33" s="154">
        <v>0</v>
      </c>
      <c r="AP33" s="198">
        <v>0</v>
      </c>
      <c r="AQ33" s="154">
        <v>18</v>
      </c>
      <c r="AR33" s="154">
        <v>25</v>
      </c>
      <c r="AS33" s="280" t="s">
        <v>34</v>
      </c>
      <c r="AT33" s="154">
        <v>13</v>
      </c>
      <c r="AU33" s="72">
        <f t="shared" si="1"/>
        <v>1245</v>
      </c>
      <c r="AV33" s="75"/>
    </row>
    <row r="34" spans="1:48" x14ac:dyDescent="0.25">
      <c r="A34" s="30" t="s">
        <v>140</v>
      </c>
      <c r="B34" s="274" t="s">
        <v>490</v>
      </c>
      <c r="C34" s="275" t="s">
        <v>500</v>
      </c>
      <c r="D34" s="151">
        <v>3</v>
      </c>
      <c r="E34" s="115"/>
      <c r="F34" s="72"/>
      <c r="G34" s="151"/>
      <c r="H34" s="72">
        <v>26</v>
      </c>
      <c r="I34" s="72">
        <v>11</v>
      </c>
      <c r="J34" s="72">
        <v>17</v>
      </c>
      <c r="K34" s="151">
        <v>76</v>
      </c>
      <c r="L34" s="147">
        <v>59</v>
      </c>
      <c r="M34" s="198">
        <v>39</v>
      </c>
      <c r="N34" s="198">
        <v>16</v>
      </c>
      <c r="O34" s="147">
        <v>58</v>
      </c>
      <c r="P34" s="147">
        <v>45</v>
      </c>
      <c r="Q34" s="147">
        <v>70</v>
      </c>
      <c r="R34" s="147">
        <v>52</v>
      </c>
      <c r="S34" s="147" t="s">
        <v>34</v>
      </c>
      <c r="T34" s="280" t="s">
        <v>34</v>
      </c>
      <c r="U34" s="154">
        <v>20</v>
      </c>
      <c r="V34" s="198">
        <v>23</v>
      </c>
      <c r="W34" s="195">
        <v>14</v>
      </c>
      <c r="X34" s="198">
        <v>14</v>
      </c>
      <c r="Y34" s="198">
        <v>30</v>
      </c>
      <c r="Z34" s="147" t="s">
        <v>34</v>
      </c>
      <c r="AA34" s="198">
        <v>13</v>
      </c>
      <c r="AB34" s="147">
        <v>68</v>
      </c>
      <c r="AC34" s="147">
        <v>81</v>
      </c>
      <c r="AD34" s="147">
        <v>59</v>
      </c>
      <c r="AE34" s="195">
        <v>24</v>
      </c>
      <c r="AF34" s="147">
        <v>78</v>
      </c>
      <c r="AG34" s="147">
        <v>84</v>
      </c>
      <c r="AH34" s="198">
        <v>27</v>
      </c>
      <c r="AI34" s="198">
        <v>0</v>
      </c>
      <c r="AJ34" s="198">
        <v>0</v>
      </c>
      <c r="AK34" s="198">
        <v>13</v>
      </c>
      <c r="AL34" s="147" t="s">
        <v>34</v>
      </c>
      <c r="AM34" s="147" t="s">
        <v>34</v>
      </c>
      <c r="AN34" s="280" t="s">
        <v>34</v>
      </c>
      <c r="AO34" s="154">
        <v>6</v>
      </c>
      <c r="AP34" s="198">
        <v>9</v>
      </c>
      <c r="AQ34" s="280" t="s">
        <v>34</v>
      </c>
      <c r="AR34" s="280" t="s">
        <v>34</v>
      </c>
      <c r="AS34" s="154">
        <v>20</v>
      </c>
      <c r="AT34" s="154">
        <v>13</v>
      </c>
      <c r="AU34" s="72">
        <f t="shared" si="1"/>
        <v>1011</v>
      </c>
      <c r="AV34" s="75"/>
    </row>
    <row r="35" spans="1:48" x14ac:dyDescent="0.25">
      <c r="A35" s="30" t="s">
        <v>140</v>
      </c>
      <c r="B35" s="274" t="s">
        <v>506</v>
      </c>
      <c r="C35" s="207" t="s">
        <v>953</v>
      </c>
      <c r="D35" s="151"/>
      <c r="E35" s="115"/>
      <c r="F35" s="72"/>
      <c r="G35" s="151"/>
      <c r="H35" s="72">
        <v>10</v>
      </c>
      <c r="I35" s="72">
        <v>1</v>
      </c>
      <c r="J35" s="72">
        <v>11</v>
      </c>
      <c r="K35" s="151" t="s">
        <v>34</v>
      </c>
      <c r="L35" s="147" t="s">
        <v>34</v>
      </c>
      <c r="M35" s="147" t="s">
        <v>34</v>
      </c>
      <c r="N35" s="147">
        <v>74</v>
      </c>
      <c r="O35" s="147" t="s">
        <v>34</v>
      </c>
      <c r="P35" s="147" t="s">
        <v>34</v>
      </c>
      <c r="Q35" s="198">
        <v>0</v>
      </c>
      <c r="R35" s="198">
        <v>27</v>
      </c>
      <c r="S35" s="147" t="s">
        <v>34</v>
      </c>
      <c r="T35" s="280" t="s">
        <v>34</v>
      </c>
      <c r="U35" s="280" t="s">
        <v>34</v>
      </c>
      <c r="V35" s="147" t="s">
        <v>34</v>
      </c>
      <c r="W35" s="51" t="s">
        <v>34</v>
      </c>
      <c r="X35" s="147" t="s">
        <v>34</v>
      </c>
      <c r="Y35" s="147" t="s">
        <v>34</v>
      </c>
      <c r="Z35" s="198">
        <v>5</v>
      </c>
      <c r="AA35" s="198">
        <v>4</v>
      </c>
      <c r="AB35" s="198">
        <v>0</v>
      </c>
      <c r="AC35" s="198">
        <v>20</v>
      </c>
      <c r="AD35" s="198">
        <v>17</v>
      </c>
      <c r="AE35" s="195">
        <v>30</v>
      </c>
      <c r="AF35" s="147" t="s">
        <v>34</v>
      </c>
      <c r="AG35" s="198">
        <v>14</v>
      </c>
      <c r="AH35" s="147" t="s">
        <v>34</v>
      </c>
      <c r="AI35" s="147" t="s">
        <v>34</v>
      </c>
      <c r="AJ35" s="147" t="s">
        <v>34</v>
      </c>
      <c r="AK35" s="147" t="s">
        <v>34</v>
      </c>
      <c r="AL35" s="147" t="s">
        <v>34</v>
      </c>
      <c r="AM35" s="147" t="s">
        <v>34</v>
      </c>
      <c r="AN35" s="154">
        <v>22</v>
      </c>
      <c r="AO35" s="280" t="s">
        <v>34</v>
      </c>
      <c r="AP35" s="147" t="s">
        <v>34</v>
      </c>
      <c r="AQ35" s="154">
        <v>20</v>
      </c>
      <c r="AR35" s="280" t="s">
        <v>34</v>
      </c>
      <c r="AS35" s="280" t="s">
        <v>34</v>
      </c>
      <c r="AT35" s="280" t="s">
        <v>34</v>
      </c>
      <c r="AU35" s="72">
        <f t="shared" si="1"/>
        <v>233</v>
      </c>
      <c r="AV35" s="75"/>
    </row>
    <row r="36" spans="1:48" x14ac:dyDescent="0.25">
      <c r="A36" s="30" t="s">
        <v>140</v>
      </c>
      <c r="B36" s="274" t="s">
        <v>351</v>
      </c>
      <c r="C36" s="275" t="s">
        <v>5</v>
      </c>
      <c r="D36" s="151">
        <v>3</v>
      </c>
      <c r="E36" s="115"/>
      <c r="F36" s="72">
        <v>5</v>
      </c>
      <c r="G36" s="151"/>
      <c r="H36" s="72">
        <v>9</v>
      </c>
      <c r="I36" s="72">
        <v>8</v>
      </c>
      <c r="J36" s="72">
        <v>1</v>
      </c>
      <c r="K36" s="151" t="s">
        <v>34</v>
      </c>
      <c r="L36" s="147" t="s">
        <v>34</v>
      </c>
      <c r="M36" s="147" t="s">
        <v>34</v>
      </c>
      <c r="N36" s="147" t="s">
        <v>34</v>
      </c>
      <c r="O36" s="147" t="s">
        <v>34</v>
      </c>
      <c r="P36" s="147" t="s">
        <v>34</v>
      </c>
      <c r="Q36" s="147" t="s">
        <v>34</v>
      </c>
      <c r="R36" s="147" t="s">
        <v>34</v>
      </c>
      <c r="S36" s="147" t="s">
        <v>34</v>
      </c>
      <c r="T36" s="280" t="s">
        <v>34</v>
      </c>
      <c r="U36" s="280" t="s">
        <v>34</v>
      </c>
      <c r="V36" s="147" t="s">
        <v>34</v>
      </c>
      <c r="W36" s="51" t="s">
        <v>34</v>
      </c>
      <c r="X36" s="147" t="s">
        <v>34</v>
      </c>
      <c r="Y36" s="147" t="s">
        <v>34</v>
      </c>
      <c r="Z36" s="147" t="s">
        <v>34</v>
      </c>
      <c r="AA36" s="147" t="s">
        <v>34</v>
      </c>
      <c r="AB36" s="147" t="s">
        <v>34</v>
      </c>
      <c r="AC36" s="147" t="s">
        <v>34</v>
      </c>
      <c r="AD36" s="147" t="s">
        <v>34</v>
      </c>
      <c r="AE36" s="51" t="s">
        <v>34</v>
      </c>
      <c r="AF36" s="147" t="s">
        <v>34</v>
      </c>
      <c r="AG36" s="147" t="s">
        <v>34</v>
      </c>
      <c r="AH36" s="147" t="s">
        <v>34</v>
      </c>
      <c r="AI36" s="147" t="s">
        <v>34</v>
      </c>
      <c r="AJ36" s="147" t="s">
        <v>34</v>
      </c>
      <c r="AK36" s="147" t="s">
        <v>34</v>
      </c>
      <c r="AL36" s="198">
        <v>32</v>
      </c>
      <c r="AM36" s="147">
        <v>75</v>
      </c>
      <c r="AN36" s="280">
        <v>90</v>
      </c>
      <c r="AO36" s="280">
        <v>67</v>
      </c>
      <c r="AP36" s="147">
        <v>90</v>
      </c>
      <c r="AQ36" s="280">
        <v>90</v>
      </c>
      <c r="AR36" s="280">
        <v>65</v>
      </c>
      <c r="AS36" s="280">
        <v>70</v>
      </c>
      <c r="AT36" s="280">
        <v>77</v>
      </c>
      <c r="AU36" s="72">
        <f t="shared" si="1"/>
        <v>656</v>
      </c>
      <c r="AV36" s="75"/>
    </row>
    <row r="37" spans="1:48" x14ac:dyDescent="0.25">
      <c r="A37" s="30" t="s">
        <v>140</v>
      </c>
      <c r="B37" s="274" t="s">
        <v>497</v>
      </c>
      <c r="C37" s="275" t="s">
        <v>528</v>
      </c>
      <c r="D37" s="151"/>
      <c r="E37" s="115"/>
      <c r="F37" s="72"/>
      <c r="G37" s="151"/>
      <c r="H37" s="72">
        <v>15</v>
      </c>
      <c r="I37" s="72">
        <v>10</v>
      </c>
      <c r="J37" s="72">
        <v>6</v>
      </c>
      <c r="K37" s="281">
        <v>0</v>
      </c>
      <c r="L37" s="147">
        <v>59</v>
      </c>
      <c r="M37" s="147">
        <v>61</v>
      </c>
      <c r="N37" s="147">
        <v>55</v>
      </c>
      <c r="O37" s="198">
        <v>32</v>
      </c>
      <c r="P37" s="147">
        <v>76</v>
      </c>
      <c r="Q37" s="147">
        <v>90</v>
      </c>
      <c r="R37" s="147" t="s">
        <v>34</v>
      </c>
      <c r="S37" s="147">
        <v>57</v>
      </c>
      <c r="T37" s="280">
        <v>63</v>
      </c>
      <c r="U37" s="280">
        <v>70</v>
      </c>
      <c r="V37" s="147">
        <v>67</v>
      </c>
      <c r="W37" s="280">
        <v>60</v>
      </c>
      <c r="X37" s="198">
        <v>39</v>
      </c>
      <c r="Y37" s="198">
        <v>30</v>
      </c>
      <c r="Z37" s="198">
        <v>22</v>
      </c>
      <c r="AA37" s="147" t="s">
        <v>34</v>
      </c>
      <c r="AB37" s="147" t="s">
        <v>34</v>
      </c>
      <c r="AC37" s="198">
        <v>9</v>
      </c>
      <c r="AD37" s="147" t="s">
        <v>34</v>
      </c>
      <c r="AE37" s="51" t="s">
        <v>34</v>
      </c>
      <c r="AF37" s="147" t="s">
        <v>34</v>
      </c>
      <c r="AG37" s="147" t="s">
        <v>34</v>
      </c>
      <c r="AH37" s="147" t="s">
        <v>34</v>
      </c>
      <c r="AI37" s="147" t="s">
        <v>34</v>
      </c>
      <c r="AJ37" s="147" t="s">
        <v>34</v>
      </c>
      <c r="AK37" s="147" t="s">
        <v>34</v>
      </c>
      <c r="AL37" s="147" t="s">
        <v>34</v>
      </c>
      <c r="AM37" s="147" t="s">
        <v>34</v>
      </c>
      <c r="AN37" s="280" t="s">
        <v>34</v>
      </c>
      <c r="AO37" s="147" t="s">
        <v>34</v>
      </c>
      <c r="AP37" s="147" t="s">
        <v>34</v>
      </c>
      <c r="AQ37" s="280" t="s">
        <v>34</v>
      </c>
      <c r="AR37" s="280" t="s">
        <v>34</v>
      </c>
      <c r="AS37" s="280" t="s">
        <v>34</v>
      </c>
      <c r="AT37" s="280" t="s">
        <v>34</v>
      </c>
      <c r="AU37" s="72">
        <f t="shared" si="1"/>
        <v>790</v>
      </c>
      <c r="AV37" s="75"/>
    </row>
    <row r="38" spans="1:48" x14ac:dyDescent="0.25">
      <c r="A38" s="30" t="s">
        <v>140</v>
      </c>
      <c r="B38" s="274" t="s">
        <v>498</v>
      </c>
      <c r="C38" s="275" t="s">
        <v>499</v>
      </c>
      <c r="D38" s="151">
        <v>2</v>
      </c>
      <c r="E38" s="115"/>
      <c r="F38" s="72">
        <v>3</v>
      </c>
      <c r="G38" s="151"/>
      <c r="H38" s="72">
        <v>20</v>
      </c>
      <c r="I38" s="72">
        <v>15</v>
      </c>
      <c r="J38" s="72">
        <v>5</v>
      </c>
      <c r="K38" s="281">
        <v>25</v>
      </c>
      <c r="L38" s="198">
        <v>31</v>
      </c>
      <c r="M38" s="198">
        <v>39</v>
      </c>
      <c r="N38" s="198">
        <v>33</v>
      </c>
      <c r="O38" s="198">
        <v>15</v>
      </c>
      <c r="P38" s="147">
        <v>45</v>
      </c>
      <c r="Q38" s="147">
        <v>61</v>
      </c>
      <c r="R38" s="147">
        <v>63</v>
      </c>
      <c r="S38" s="147">
        <v>90</v>
      </c>
      <c r="T38" s="280">
        <v>80</v>
      </c>
      <c r="U38" s="280">
        <v>70</v>
      </c>
      <c r="V38" s="147">
        <v>78</v>
      </c>
      <c r="W38" s="280">
        <v>76</v>
      </c>
      <c r="X38" s="147">
        <v>61</v>
      </c>
      <c r="Y38" s="147">
        <v>60</v>
      </c>
      <c r="Z38" s="147">
        <v>90</v>
      </c>
      <c r="AA38" s="147">
        <v>86</v>
      </c>
      <c r="AB38" s="147">
        <v>68</v>
      </c>
      <c r="AC38" s="147">
        <v>90</v>
      </c>
      <c r="AD38" s="147">
        <v>90</v>
      </c>
      <c r="AE38" s="51" t="s">
        <v>34</v>
      </c>
      <c r="AF38" s="147" t="s">
        <v>34</v>
      </c>
      <c r="AG38" s="147" t="s">
        <v>34</v>
      </c>
      <c r="AH38" s="147" t="s">
        <v>34</v>
      </c>
      <c r="AI38" s="147" t="s">
        <v>34</v>
      </c>
      <c r="AJ38" s="147" t="s">
        <v>34</v>
      </c>
      <c r="AK38" s="147" t="s">
        <v>34</v>
      </c>
      <c r="AL38" s="147" t="s">
        <v>34</v>
      </c>
      <c r="AM38" s="147" t="s">
        <v>34</v>
      </c>
      <c r="AN38" s="280" t="s">
        <v>34</v>
      </c>
      <c r="AO38" s="147" t="s">
        <v>34</v>
      </c>
      <c r="AP38" s="147" t="s">
        <v>34</v>
      </c>
      <c r="AQ38" s="280" t="s">
        <v>34</v>
      </c>
      <c r="AR38" s="280" t="s">
        <v>34</v>
      </c>
      <c r="AS38" s="280" t="s">
        <v>34</v>
      </c>
      <c r="AT38" s="280" t="s">
        <v>34</v>
      </c>
      <c r="AU38" s="72">
        <f t="shared" si="1"/>
        <v>1251</v>
      </c>
      <c r="AV38" s="75"/>
    </row>
    <row r="39" spans="1:48" x14ac:dyDescent="0.25">
      <c r="A39" s="30" t="s">
        <v>140</v>
      </c>
      <c r="B39" s="269" t="s">
        <v>491</v>
      </c>
      <c r="C39" s="207" t="s">
        <v>957</v>
      </c>
      <c r="D39" s="151">
        <v>1</v>
      </c>
      <c r="E39" s="115"/>
      <c r="F39" s="181">
        <v>1</v>
      </c>
      <c r="G39" s="151"/>
      <c r="H39" s="72">
        <v>9</v>
      </c>
      <c r="I39" s="181">
        <v>5</v>
      </c>
      <c r="J39" s="181">
        <v>5</v>
      </c>
      <c r="K39" s="151">
        <v>90</v>
      </c>
      <c r="L39" s="147">
        <v>90</v>
      </c>
      <c r="M39" s="147">
        <v>90</v>
      </c>
      <c r="N39" s="147">
        <v>90</v>
      </c>
      <c r="O39" s="147">
        <v>75</v>
      </c>
      <c r="P39" s="198">
        <v>45</v>
      </c>
      <c r="Q39" s="198">
        <v>39</v>
      </c>
      <c r="R39" s="198">
        <v>27</v>
      </c>
      <c r="S39" s="198">
        <v>33</v>
      </c>
      <c r="T39" s="154">
        <v>0</v>
      </c>
      <c r="U39" s="280" t="s">
        <v>34</v>
      </c>
      <c r="V39" s="147" t="s">
        <v>34</v>
      </c>
      <c r="W39" s="311" t="s">
        <v>34</v>
      </c>
      <c r="X39" s="282" t="s">
        <v>34</v>
      </c>
      <c r="Y39" s="282" t="s">
        <v>34</v>
      </c>
      <c r="Z39" s="282" t="s">
        <v>34</v>
      </c>
      <c r="AA39" s="282" t="s">
        <v>34</v>
      </c>
      <c r="AB39" s="282" t="s">
        <v>34</v>
      </c>
      <c r="AC39" s="282" t="s">
        <v>34</v>
      </c>
      <c r="AD39" s="282" t="s">
        <v>34</v>
      </c>
      <c r="AE39" s="51" t="s">
        <v>34</v>
      </c>
      <c r="AF39" s="147" t="s">
        <v>34</v>
      </c>
      <c r="AG39" s="147" t="s">
        <v>34</v>
      </c>
      <c r="AH39" s="147" t="s">
        <v>34</v>
      </c>
      <c r="AI39" s="147" t="s">
        <v>34</v>
      </c>
      <c r="AJ39" s="147" t="s">
        <v>34</v>
      </c>
      <c r="AK39" s="147" t="s">
        <v>34</v>
      </c>
      <c r="AL39" s="147" t="s">
        <v>34</v>
      </c>
      <c r="AM39" s="147" t="s">
        <v>34</v>
      </c>
      <c r="AN39" s="280" t="s">
        <v>34</v>
      </c>
      <c r="AO39" s="147" t="s">
        <v>34</v>
      </c>
      <c r="AP39" s="147" t="s">
        <v>34</v>
      </c>
      <c r="AQ39" s="280" t="s">
        <v>34</v>
      </c>
      <c r="AR39" s="280" t="s">
        <v>34</v>
      </c>
      <c r="AS39" s="280" t="s">
        <v>34</v>
      </c>
      <c r="AT39" s="280" t="s">
        <v>34</v>
      </c>
      <c r="AU39" s="72">
        <f t="shared" si="1"/>
        <v>579</v>
      </c>
      <c r="AV39" s="75"/>
    </row>
    <row r="40" spans="1:48" x14ac:dyDescent="0.25">
      <c r="A40" s="30" t="s">
        <v>140</v>
      </c>
      <c r="B40" s="269" t="s">
        <v>525</v>
      </c>
      <c r="C40" s="268" t="s">
        <v>526</v>
      </c>
      <c r="D40" s="151"/>
      <c r="E40" s="115"/>
      <c r="F40" s="181"/>
      <c r="G40" s="151"/>
      <c r="H40" s="72">
        <v>0</v>
      </c>
      <c r="I40" s="181">
        <v>0</v>
      </c>
      <c r="J40" s="181">
        <v>2</v>
      </c>
      <c r="K40" s="151" t="s">
        <v>34</v>
      </c>
      <c r="L40" s="147" t="s">
        <v>34</v>
      </c>
      <c r="M40" s="147" t="s">
        <v>34</v>
      </c>
      <c r="N40" s="147" t="s">
        <v>34</v>
      </c>
      <c r="O40" s="147" t="s">
        <v>34</v>
      </c>
      <c r="P40" s="147" t="s">
        <v>34</v>
      </c>
      <c r="Q40" s="147" t="s">
        <v>34</v>
      </c>
      <c r="R40" s="147" t="s">
        <v>34</v>
      </c>
      <c r="S40" s="147" t="s">
        <v>34</v>
      </c>
      <c r="T40" s="280" t="s">
        <v>34</v>
      </c>
      <c r="U40" s="280" t="s">
        <v>34</v>
      </c>
      <c r="V40" s="147" t="s">
        <v>34</v>
      </c>
      <c r="W40" s="311" t="s">
        <v>34</v>
      </c>
      <c r="X40" s="282" t="s">
        <v>34</v>
      </c>
      <c r="Y40" s="282" t="s">
        <v>34</v>
      </c>
      <c r="Z40" s="282" t="s">
        <v>34</v>
      </c>
      <c r="AA40" s="282" t="s">
        <v>34</v>
      </c>
      <c r="AB40" s="282" t="s">
        <v>34</v>
      </c>
      <c r="AC40" s="282" t="s">
        <v>34</v>
      </c>
      <c r="AD40" s="282" t="s">
        <v>34</v>
      </c>
      <c r="AE40" s="51" t="s">
        <v>34</v>
      </c>
      <c r="AF40" s="147" t="s">
        <v>34</v>
      </c>
      <c r="AG40" s="147" t="s">
        <v>34</v>
      </c>
      <c r="AH40" s="147" t="s">
        <v>34</v>
      </c>
      <c r="AI40" s="147" t="s">
        <v>34</v>
      </c>
      <c r="AJ40" s="147" t="s">
        <v>34</v>
      </c>
      <c r="AK40" s="147" t="s">
        <v>34</v>
      </c>
      <c r="AL40" s="147" t="s">
        <v>34</v>
      </c>
      <c r="AM40" s="147" t="s">
        <v>34</v>
      </c>
      <c r="AN40" s="280" t="s">
        <v>34</v>
      </c>
      <c r="AO40" s="147" t="s">
        <v>34</v>
      </c>
      <c r="AP40" s="147" t="s">
        <v>34</v>
      </c>
      <c r="AQ40" s="280" t="s">
        <v>34</v>
      </c>
      <c r="AR40" s="154">
        <v>0</v>
      </c>
      <c r="AS40" s="154">
        <v>0</v>
      </c>
      <c r="AT40" s="280" t="s">
        <v>34</v>
      </c>
      <c r="AU40" s="72">
        <f t="shared" si="1"/>
        <v>0</v>
      </c>
      <c r="AV40" s="75"/>
    </row>
    <row r="41" spans="1:48" ht="15.75" thickBot="1" x14ac:dyDescent="0.3">
      <c r="A41" s="30" t="s">
        <v>140</v>
      </c>
      <c r="B41" s="283" t="s">
        <v>361</v>
      </c>
      <c r="C41" s="284" t="s">
        <v>13</v>
      </c>
      <c r="D41" s="151">
        <v>3</v>
      </c>
      <c r="E41" s="115"/>
      <c r="F41" s="73">
        <v>1</v>
      </c>
      <c r="G41" s="151"/>
      <c r="H41" s="72">
        <v>27</v>
      </c>
      <c r="I41" s="73">
        <v>20</v>
      </c>
      <c r="J41" s="73">
        <v>8</v>
      </c>
      <c r="K41" s="151" t="s">
        <v>34</v>
      </c>
      <c r="L41" s="198">
        <v>0</v>
      </c>
      <c r="M41" s="147" t="s">
        <v>34</v>
      </c>
      <c r="N41" s="147" t="s">
        <v>34</v>
      </c>
      <c r="O41" s="147" t="s">
        <v>34</v>
      </c>
      <c r="P41" s="147" t="s">
        <v>34</v>
      </c>
      <c r="Q41" s="147" t="s">
        <v>34</v>
      </c>
      <c r="R41" s="147" t="s">
        <v>34</v>
      </c>
      <c r="S41" s="147" t="s">
        <v>34</v>
      </c>
      <c r="T41" s="154">
        <v>27</v>
      </c>
      <c r="U41" s="154">
        <v>20</v>
      </c>
      <c r="V41" s="198">
        <v>12</v>
      </c>
      <c r="W41" s="291">
        <v>20</v>
      </c>
      <c r="X41" s="291">
        <v>39</v>
      </c>
      <c r="Y41" s="291">
        <v>30</v>
      </c>
      <c r="Z41" s="285">
        <v>85</v>
      </c>
      <c r="AA41" s="285">
        <v>90</v>
      </c>
      <c r="AB41" s="285">
        <v>90</v>
      </c>
      <c r="AC41" s="285">
        <v>70</v>
      </c>
      <c r="AD41" s="285">
        <v>59</v>
      </c>
      <c r="AE41" s="51">
        <v>66</v>
      </c>
      <c r="AF41" s="147">
        <v>71</v>
      </c>
      <c r="AG41" s="147">
        <v>76</v>
      </c>
      <c r="AH41" s="147">
        <v>90</v>
      </c>
      <c r="AI41" s="147">
        <v>72</v>
      </c>
      <c r="AJ41" s="147">
        <v>90</v>
      </c>
      <c r="AK41" s="147">
        <v>90</v>
      </c>
      <c r="AL41" s="147">
        <v>90</v>
      </c>
      <c r="AM41" s="198">
        <v>15</v>
      </c>
      <c r="AN41" s="280">
        <v>56</v>
      </c>
      <c r="AO41" s="147">
        <v>84</v>
      </c>
      <c r="AP41" s="147">
        <v>90</v>
      </c>
      <c r="AQ41" s="280">
        <v>70</v>
      </c>
      <c r="AR41" s="280">
        <v>90</v>
      </c>
      <c r="AS41" s="280">
        <v>90</v>
      </c>
      <c r="AT41" s="280">
        <v>77</v>
      </c>
      <c r="AU41" s="73">
        <f>SUM(K41:AT41)</f>
        <v>1759</v>
      </c>
      <c r="AV41" s="75"/>
    </row>
    <row r="42" spans="1:48" x14ac:dyDescent="0.25">
      <c r="A42" s="75"/>
      <c r="B42" s="295"/>
      <c r="C42" s="296" t="s">
        <v>529</v>
      </c>
      <c r="D42" s="230">
        <v>1</v>
      </c>
      <c r="E42" s="297" t="s">
        <v>171</v>
      </c>
      <c r="F42" s="297" t="s">
        <v>171</v>
      </c>
      <c r="G42" s="299" t="s">
        <v>171</v>
      </c>
      <c r="H42" s="298" t="s">
        <v>364</v>
      </c>
      <c r="I42" s="297" t="s">
        <v>171</v>
      </c>
      <c r="J42" s="297" t="s">
        <v>171</v>
      </c>
      <c r="K42" s="299" t="s">
        <v>171</v>
      </c>
      <c r="L42" s="299" t="s">
        <v>171</v>
      </c>
      <c r="M42" s="299" t="s">
        <v>171</v>
      </c>
      <c r="N42" s="299" t="s">
        <v>171</v>
      </c>
      <c r="O42" s="299" t="s">
        <v>171</v>
      </c>
      <c r="P42" s="299" t="s">
        <v>171</v>
      </c>
      <c r="Q42" s="299" t="s">
        <v>171</v>
      </c>
      <c r="R42" s="299" t="s">
        <v>171</v>
      </c>
      <c r="S42" s="299" t="s">
        <v>171</v>
      </c>
      <c r="T42" s="299" t="s">
        <v>171</v>
      </c>
      <c r="U42" s="299" t="s">
        <v>171</v>
      </c>
      <c r="V42" s="299" t="s">
        <v>171</v>
      </c>
      <c r="W42" s="299" t="s">
        <v>171</v>
      </c>
      <c r="X42" s="299" t="s">
        <v>171</v>
      </c>
      <c r="Y42" s="299" t="s">
        <v>171</v>
      </c>
      <c r="Z42" s="299" t="s">
        <v>171</v>
      </c>
      <c r="AA42" s="299" t="s">
        <v>171</v>
      </c>
      <c r="AB42" s="299" t="s">
        <v>171</v>
      </c>
      <c r="AC42" s="299" t="s">
        <v>171</v>
      </c>
      <c r="AD42" s="299" t="s">
        <v>171</v>
      </c>
      <c r="AE42" s="299" t="s">
        <v>171</v>
      </c>
      <c r="AF42" s="299" t="s">
        <v>171</v>
      </c>
      <c r="AG42" s="299" t="s">
        <v>171</v>
      </c>
      <c r="AH42" s="299" t="s">
        <v>171</v>
      </c>
      <c r="AI42" s="299" t="s">
        <v>171</v>
      </c>
      <c r="AJ42" s="299" t="s">
        <v>171</v>
      </c>
      <c r="AK42" s="299" t="s">
        <v>171</v>
      </c>
      <c r="AL42" s="299" t="s">
        <v>171</v>
      </c>
      <c r="AM42" s="299" t="s">
        <v>171</v>
      </c>
      <c r="AN42" s="299" t="s">
        <v>171</v>
      </c>
      <c r="AO42" s="299" t="s">
        <v>171</v>
      </c>
      <c r="AP42" s="299" t="s">
        <v>171</v>
      </c>
      <c r="AQ42" s="299" t="s">
        <v>171</v>
      </c>
      <c r="AR42" s="299" t="s">
        <v>171</v>
      </c>
      <c r="AS42" s="299" t="s">
        <v>171</v>
      </c>
      <c r="AT42" s="299" t="s">
        <v>171</v>
      </c>
      <c r="AU42" s="299" t="s">
        <v>171</v>
      </c>
      <c r="AV42" s="75"/>
    </row>
    <row r="43" spans="1:48" ht="15.75" thickBot="1" x14ac:dyDescent="0.3">
      <c r="A43" s="75"/>
      <c r="B43" s="295"/>
      <c r="C43" s="300" t="s">
        <v>172</v>
      </c>
      <c r="D43" s="73">
        <f>SUM(D8:D42)</f>
        <v>26</v>
      </c>
      <c r="E43" s="73">
        <f>SUM(E3:E41)</f>
        <v>0</v>
      </c>
      <c r="F43" s="73">
        <f>SUM(F3:F41)</f>
        <v>77</v>
      </c>
      <c r="G43" s="212">
        <f>SUM(G3:G41)</f>
        <v>9</v>
      </c>
      <c r="H43" s="301" t="s">
        <v>364</v>
      </c>
      <c r="I43" s="302" t="s">
        <v>171</v>
      </c>
      <c r="J43" s="302" t="s">
        <v>171</v>
      </c>
      <c r="K43" s="301" t="s">
        <v>171</v>
      </c>
      <c r="L43" s="301" t="s">
        <v>171</v>
      </c>
      <c r="M43" s="301" t="s">
        <v>171</v>
      </c>
      <c r="N43" s="301" t="s">
        <v>171</v>
      </c>
      <c r="O43" s="301" t="s">
        <v>171</v>
      </c>
      <c r="P43" s="301" t="s">
        <v>171</v>
      </c>
      <c r="Q43" s="301" t="s">
        <v>171</v>
      </c>
      <c r="R43" s="301" t="s">
        <v>171</v>
      </c>
      <c r="S43" s="301" t="s">
        <v>171</v>
      </c>
      <c r="T43" s="301" t="s">
        <v>171</v>
      </c>
      <c r="U43" s="301" t="s">
        <v>171</v>
      </c>
      <c r="V43" s="301" t="s">
        <v>171</v>
      </c>
      <c r="W43" s="301" t="s">
        <v>171</v>
      </c>
      <c r="X43" s="301" t="s">
        <v>171</v>
      </c>
      <c r="Y43" s="301" t="s">
        <v>171</v>
      </c>
      <c r="Z43" s="301" t="s">
        <v>171</v>
      </c>
      <c r="AA43" s="301" t="s">
        <v>171</v>
      </c>
      <c r="AB43" s="301" t="s">
        <v>171</v>
      </c>
      <c r="AC43" s="301" t="s">
        <v>171</v>
      </c>
      <c r="AD43" s="301" t="s">
        <v>171</v>
      </c>
      <c r="AE43" s="301" t="s">
        <v>171</v>
      </c>
      <c r="AF43" s="301" t="s">
        <v>171</v>
      </c>
      <c r="AG43" s="301" t="s">
        <v>171</v>
      </c>
      <c r="AH43" s="301" t="s">
        <v>171</v>
      </c>
      <c r="AI43" s="301" t="s">
        <v>171</v>
      </c>
      <c r="AJ43" s="301" t="s">
        <v>171</v>
      </c>
      <c r="AK43" s="301" t="s">
        <v>171</v>
      </c>
      <c r="AL43" s="301" t="s">
        <v>171</v>
      </c>
      <c r="AM43" s="301" t="s">
        <v>171</v>
      </c>
      <c r="AN43" s="301" t="s">
        <v>171</v>
      </c>
      <c r="AO43" s="301" t="s">
        <v>171</v>
      </c>
      <c r="AP43" s="301" t="s">
        <v>171</v>
      </c>
      <c r="AQ43" s="301" t="s">
        <v>171</v>
      </c>
      <c r="AR43" s="301" t="s">
        <v>171</v>
      </c>
      <c r="AS43" s="301" t="s">
        <v>171</v>
      </c>
      <c r="AT43" s="301" t="s">
        <v>171</v>
      </c>
      <c r="AU43" s="301" t="s">
        <v>171</v>
      </c>
      <c r="AV43" s="75"/>
    </row>
    <row r="44" spans="1:48" ht="15.75" thickBot="1" x14ac:dyDescent="0.3">
      <c r="A44" s="75"/>
      <c r="B44" s="295"/>
      <c r="C44" s="303" t="s">
        <v>173</v>
      </c>
      <c r="D44" s="73">
        <f>SUM(D8:D42)</f>
        <v>26</v>
      </c>
      <c r="E44" s="124">
        <f>SUM(E3:E42)</f>
        <v>0</v>
      </c>
      <c r="F44" s="38">
        <f>SUM(F3:F42)</f>
        <v>77</v>
      </c>
      <c r="G44" s="212">
        <f>SUM(G3:G42)</f>
        <v>9</v>
      </c>
      <c r="H44" s="305" t="s">
        <v>364</v>
      </c>
      <c r="I44" s="306" t="s">
        <v>171</v>
      </c>
      <c r="J44" s="306" t="s">
        <v>171</v>
      </c>
      <c r="K44" s="305" t="s">
        <v>171</v>
      </c>
      <c r="L44" s="305" t="s">
        <v>171</v>
      </c>
      <c r="M44" s="305" t="s">
        <v>171</v>
      </c>
      <c r="N44" s="305" t="s">
        <v>171</v>
      </c>
      <c r="O44" s="305" t="s">
        <v>171</v>
      </c>
      <c r="P44" s="305" t="s">
        <v>171</v>
      </c>
      <c r="Q44" s="305" t="s">
        <v>171</v>
      </c>
      <c r="R44" s="305" t="s">
        <v>171</v>
      </c>
      <c r="S44" s="305" t="s">
        <v>171</v>
      </c>
      <c r="T44" s="305" t="s">
        <v>171</v>
      </c>
      <c r="U44" s="305" t="s">
        <v>171</v>
      </c>
      <c r="V44" s="305" t="s">
        <v>171</v>
      </c>
      <c r="W44" s="305" t="s">
        <v>171</v>
      </c>
      <c r="X44" s="305" t="s">
        <v>171</v>
      </c>
      <c r="Y44" s="305" t="s">
        <v>171</v>
      </c>
      <c r="Z44" s="305" t="s">
        <v>171</v>
      </c>
      <c r="AA44" s="305" t="s">
        <v>171</v>
      </c>
      <c r="AB44" s="305" t="s">
        <v>171</v>
      </c>
      <c r="AC44" s="305" t="s">
        <v>171</v>
      </c>
      <c r="AD44" s="305" t="s">
        <v>171</v>
      </c>
      <c r="AE44" s="305" t="s">
        <v>171</v>
      </c>
      <c r="AF44" s="305" t="s">
        <v>171</v>
      </c>
      <c r="AG44" s="305" t="s">
        <v>171</v>
      </c>
      <c r="AH44" s="305" t="s">
        <v>171</v>
      </c>
      <c r="AI44" s="305" t="s">
        <v>171</v>
      </c>
      <c r="AJ44" s="305" t="s">
        <v>171</v>
      </c>
      <c r="AK44" s="305" t="s">
        <v>171</v>
      </c>
      <c r="AL44" s="305" t="s">
        <v>171</v>
      </c>
      <c r="AM44" s="305" t="s">
        <v>171</v>
      </c>
      <c r="AN44" s="305" t="s">
        <v>171</v>
      </c>
      <c r="AO44" s="305" t="s">
        <v>171</v>
      </c>
      <c r="AP44" s="305" t="s">
        <v>171</v>
      </c>
      <c r="AQ44" s="305" t="s">
        <v>171</v>
      </c>
      <c r="AR44" s="305" t="s">
        <v>171</v>
      </c>
      <c r="AS44" s="305" t="s">
        <v>171</v>
      </c>
      <c r="AT44" s="305" t="s">
        <v>171</v>
      </c>
      <c r="AU44" s="305" t="s">
        <v>171</v>
      </c>
      <c r="AV44" s="75"/>
    </row>
    <row r="45" spans="1:48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</row>
    <row r="46" spans="1:48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</row>
    <row r="47" spans="1:48" x14ac:dyDescent="0.25">
      <c r="A47" s="75"/>
      <c r="B47" s="75"/>
      <c r="C47" s="7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</row>
    <row r="48" spans="1:48" x14ac:dyDescent="0.25">
      <c r="A48" s="75"/>
      <c r="B48" s="75"/>
      <c r="C48" s="7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</row>
    <row r="49" spans="1:48" x14ac:dyDescent="0.25">
      <c r="A49" s="75"/>
      <c r="B49" s="75"/>
      <c r="C49" s="7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</row>
    <row r="50" spans="1:48" x14ac:dyDescent="0.25">
      <c r="A50" s="75"/>
      <c r="B50" s="75"/>
      <c r="C50" s="7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AU22 AU38 AU6" formulaRange="1"/>
    <ignoredError sqref="AU5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51"/>
  <sheetViews>
    <sheetView zoomScaleNormal="100" workbookViewId="0">
      <pane xSplit="16" ySplit="3" topLeftCell="Q13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16" width="6.7109375" style="1" customWidth="1"/>
    <col min="17" max="17" width="17.85546875" style="1" customWidth="1"/>
    <col min="18" max="18" width="16.28515625" style="1" customWidth="1"/>
    <col min="19" max="19" width="14.85546875" style="1" customWidth="1"/>
    <col min="20" max="20" width="15.5703125" style="1" customWidth="1"/>
    <col min="21" max="21" width="20" style="1" customWidth="1"/>
    <col min="22" max="24" width="18.28515625" style="1" customWidth="1"/>
    <col min="25" max="25" width="19.140625" style="1" customWidth="1"/>
    <col min="26" max="28" width="16.42578125" style="1" customWidth="1"/>
    <col min="29" max="29" width="19.5703125" style="1" customWidth="1"/>
    <col min="30" max="30" width="18.28515625" style="1" customWidth="1"/>
    <col min="31" max="31" width="18.140625" style="1" customWidth="1"/>
    <col min="32" max="32" width="16.42578125" style="1" customWidth="1"/>
    <col min="33" max="33" width="18.85546875" style="1" customWidth="1"/>
    <col min="34" max="34" width="16.42578125" style="1" customWidth="1"/>
    <col min="35" max="35" width="18.28515625" style="1" customWidth="1"/>
    <col min="36" max="36" width="17.5703125" style="1" customWidth="1"/>
    <col min="37" max="37" width="17.85546875" customWidth="1"/>
    <col min="38" max="38" width="15.42578125" customWidth="1"/>
    <col min="39" max="39" width="16.42578125" customWidth="1"/>
    <col min="40" max="40" width="19.42578125" customWidth="1"/>
    <col min="41" max="43" width="17.85546875" customWidth="1"/>
    <col min="44" max="44" width="19.140625" customWidth="1"/>
    <col min="45" max="51" width="17.85546875" customWidth="1"/>
    <col min="52" max="52" width="19.28515625" customWidth="1"/>
    <col min="53" max="53" width="17.85546875" customWidth="1"/>
    <col min="54" max="54" width="17" customWidth="1"/>
    <col min="55" max="55" width="14.5703125" customWidth="1"/>
  </cols>
  <sheetData>
    <row r="1" spans="1:57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6"/>
      <c r="Q1" s="12" t="s">
        <v>533</v>
      </c>
      <c r="R1" s="12" t="s">
        <v>536</v>
      </c>
      <c r="S1" s="12" t="s">
        <v>537</v>
      </c>
      <c r="T1" s="12" t="s">
        <v>538</v>
      </c>
      <c r="U1" s="12" t="s">
        <v>539</v>
      </c>
      <c r="V1" s="12" t="s">
        <v>540</v>
      </c>
      <c r="W1" s="12" t="s">
        <v>541</v>
      </c>
      <c r="X1" s="12" t="s">
        <v>542</v>
      </c>
      <c r="Y1" s="12" t="s">
        <v>543</v>
      </c>
      <c r="Z1" s="12" t="s">
        <v>544</v>
      </c>
      <c r="AA1" s="12" t="s">
        <v>545</v>
      </c>
      <c r="AB1" s="12" t="s">
        <v>546</v>
      </c>
      <c r="AC1" s="24" t="s">
        <v>547</v>
      </c>
      <c r="AD1" s="12" t="s">
        <v>617</v>
      </c>
      <c r="AE1" s="12" t="s">
        <v>548</v>
      </c>
      <c r="AF1" s="12" t="s">
        <v>549</v>
      </c>
      <c r="AG1" s="12" t="s">
        <v>550</v>
      </c>
      <c r="AH1" s="12" t="s">
        <v>551</v>
      </c>
      <c r="AI1" s="12" t="s">
        <v>535</v>
      </c>
      <c r="AJ1" s="12" t="s">
        <v>552</v>
      </c>
      <c r="AK1" s="12" t="s">
        <v>608</v>
      </c>
      <c r="AL1" s="12" t="s">
        <v>553</v>
      </c>
      <c r="AM1" s="12" t="s">
        <v>554</v>
      </c>
      <c r="AN1" s="12" t="s">
        <v>555</v>
      </c>
      <c r="AO1" s="12" t="s">
        <v>556</v>
      </c>
      <c r="AP1" s="12" t="s">
        <v>557</v>
      </c>
      <c r="AQ1" s="12" t="s">
        <v>558</v>
      </c>
      <c r="AR1" s="12" t="s">
        <v>559</v>
      </c>
      <c r="AS1" s="12" t="s">
        <v>560</v>
      </c>
      <c r="AT1" s="12" t="s">
        <v>561</v>
      </c>
      <c r="AU1" s="12" t="s">
        <v>562</v>
      </c>
      <c r="AV1" s="24" t="s">
        <v>563</v>
      </c>
      <c r="AW1" s="12" t="s">
        <v>564</v>
      </c>
      <c r="AX1" s="12" t="s">
        <v>565</v>
      </c>
      <c r="AY1" s="12" t="s">
        <v>566</v>
      </c>
      <c r="AZ1" s="12" t="s">
        <v>613</v>
      </c>
      <c r="BA1" s="12" t="s">
        <v>567</v>
      </c>
      <c r="BB1" s="12" t="s">
        <v>534</v>
      </c>
      <c r="BC1" s="12" t="s">
        <v>532</v>
      </c>
    </row>
    <row r="2" spans="1:57" s="1" customFormat="1" ht="15.75" thickBot="1" x14ac:dyDescent="0.3">
      <c r="A2" s="384" t="s">
        <v>137</v>
      </c>
      <c r="B2" s="384" t="s">
        <v>26</v>
      </c>
      <c r="C2" s="384" t="s">
        <v>25</v>
      </c>
      <c r="D2" s="389" t="s">
        <v>27</v>
      </c>
      <c r="E2" s="390"/>
      <c r="F2" s="389" t="s">
        <v>28</v>
      </c>
      <c r="G2" s="390"/>
      <c r="H2" s="387" t="s">
        <v>32</v>
      </c>
      <c r="I2" s="388"/>
      <c r="J2" s="387" t="s">
        <v>33</v>
      </c>
      <c r="K2" s="388"/>
      <c r="L2" s="384" t="s">
        <v>363</v>
      </c>
      <c r="M2" s="387" t="s">
        <v>29</v>
      </c>
      <c r="N2" s="388"/>
      <c r="O2" s="387" t="s">
        <v>30</v>
      </c>
      <c r="P2" s="388"/>
      <c r="Q2" s="384" t="s">
        <v>41</v>
      </c>
      <c r="R2" s="384" t="s">
        <v>41</v>
      </c>
      <c r="S2" s="384" t="s">
        <v>41</v>
      </c>
      <c r="T2" s="384" t="s">
        <v>41</v>
      </c>
      <c r="U2" s="384" t="s">
        <v>41</v>
      </c>
      <c r="V2" s="384" t="s">
        <v>41</v>
      </c>
      <c r="W2" s="384" t="s">
        <v>41</v>
      </c>
      <c r="X2" s="384" t="s">
        <v>41</v>
      </c>
      <c r="Y2" s="384" t="s">
        <v>41</v>
      </c>
      <c r="Z2" s="384" t="s">
        <v>41</v>
      </c>
      <c r="AA2" s="384" t="s">
        <v>41</v>
      </c>
      <c r="AB2" s="384" t="s">
        <v>41</v>
      </c>
      <c r="AC2" s="384" t="s">
        <v>41</v>
      </c>
      <c r="AD2" s="384" t="s">
        <v>41</v>
      </c>
      <c r="AE2" s="384" t="s">
        <v>41</v>
      </c>
      <c r="AF2" s="384" t="s">
        <v>41</v>
      </c>
      <c r="AG2" s="384" t="s">
        <v>41</v>
      </c>
      <c r="AH2" s="384" t="s">
        <v>41</v>
      </c>
      <c r="AI2" s="384" t="s">
        <v>41</v>
      </c>
      <c r="AJ2" s="384" t="s">
        <v>41</v>
      </c>
      <c r="AK2" s="384" t="s">
        <v>41</v>
      </c>
      <c r="AL2" s="384" t="s">
        <v>41</v>
      </c>
      <c r="AM2" s="384" t="s">
        <v>41</v>
      </c>
      <c r="AN2" s="384" t="s">
        <v>41</v>
      </c>
      <c r="AO2" s="384" t="s">
        <v>41</v>
      </c>
      <c r="AP2" s="384" t="s">
        <v>41</v>
      </c>
      <c r="AQ2" s="384" t="s">
        <v>41</v>
      </c>
      <c r="AR2" s="384" t="s">
        <v>41</v>
      </c>
      <c r="AS2" s="384" t="s">
        <v>41</v>
      </c>
      <c r="AT2" s="384" t="s">
        <v>41</v>
      </c>
      <c r="AU2" s="384" t="s">
        <v>41</v>
      </c>
      <c r="AV2" s="384" t="s">
        <v>41</v>
      </c>
      <c r="AW2" s="384" t="s">
        <v>41</v>
      </c>
      <c r="AX2" s="384" t="s">
        <v>41</v>
      </c>
      <c r="AY2" s="384" t="s">
        <v>41</v>
      </c>
      <c r="AZ2" s="384" t="s">
        <v>41</v>
      </c>
      <c r="BA2" s="384" t="s">
        <v>41</v>
      </c>
      <c r="BB2" s="384" t="s">
        <v>41</v>
      </c>
      <c r="BC2" s="384" t="s">
        <v>41</v>
      </c>
      <c r="BD2" s="14"/>
      <c r="BE2" s="14"/>
    </row>
    <row r="3" spans="1:57" s="1" customFormat="1" ht="15.75" thickBot="1" x14ac:dyDescent="0.3">
      <c r="A3" s="385"/>
      <c r="B3" s="385"/>
      <c r="C3" s="385"/>
      <c r="D3" s="13" t="s">
        <v>169</v>
      </c>
      <c r="E3" s="13" t="s">
        <v>170</v>
      </c>
      <c r="F3" s="13" t="s">
        <v>169</v>
      </c>
      <c r="G3" s="13" t="s">
        <v>170</v>
      </c>
      <c r="H3" s="387" t="s">
        <v>174</v>
      </c>
      <c r="I3" s="388"/>
      <c r="J3" s="13" t="s">
        <v>169</v>
      </c>
      <c r="K3" s="13" t="s">
        <v>170</v>
      </c>
      <c r="L3" s="385"/>
      <c r="M3" s="13" t="s">
        <v>169</v>
      </c>
      <c r="N3" s="13" t="s">
        <v>170</v>
      </c>
      <c r="O3" s="13" t="s">
        <v>169</v>
      </c>
      <c r="P3" s="13" t="s">
        <v>170</v>
      </c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14"/>
      <c r="BE3" s="14"/>
    </row>
    <row r="4" spans="1:57" x14ac:dyDescent="0.25">
      <c r="A4" s="27" t="s">
        <v>138</v>
      </c>
      <c r="B4" s="274" t="s">
        <v>482</v>
      </c>
      <c r="C4" s="275" t="s">
        <v>483</v>
      </c>
      <c r="D4" s="151">
        <v>-28</v>
      </c>
      <c r="E4" s="101">
        <v>-25</v>
      </c>
      <c r="F4" s="115"/>
      <c r="G4" s="101"/>
      <c r="H4" s="106">
        <v>2</v>
      </c>
      <c r="I4" s="117">
        <v>3</v>
      </c>
      <c r="J4" s="151"/>
      <c r="K4" s="101"/>
      <c r="L4" s="72">
        <v>35</v>
      </c>
      <c r="M4" s="151">
        <v>18</v>
      </c>
      <c r="N4" s="101">
        <v>17</v>
      </c>
      <c r="O4" s="151">
        <v>0</v>
      </c>
      <c r="P4" s="101">
        <v>0</v>
      </c>
      <c r="Q4" s="151">
        <v>90</v>
      </c>
      <c r="R4" s="147">
        <v>90</v>
      </c>
      <c r="S4" s="147">
        <v>90</v>
      </c>
      <c r="T4" s="147">
        <v>90</v>
      </c>
      <c r="U4" s="147">
        <v>90</v>
      </c>
      <c r="V4" s="147">
        <v>90</v>
      </c>
      <c r="W4" s="147">
        <v>90</v>
      </c>
      <c r="X4" s="147">
        <v>90</v>
      </c>
      <c r="Y4" s="147">
        <v>90</v>
      </c>
      <c r="Z4" s="147">
        <v>90</v>
      </c>
      <c r="AA4" s="147">
        <v>90</v>
      </c>
      <c r="AB4" s="147">
        <v>90</v>
      </c>
      <c r="AC4" s="147">
        <v>90</v>
      </c>
      <c r="AD4" s="147">
        <v>90</v>
      </c>
      <c r="AE4" s="147">
        <v>90</v>
      </c>
      <c r="AF4" s="147">
        <v>90</v>
      </c>
      <c r="AG4" s="147">
        <v>90</v>
      </c>
      <c r="AH4" s="101">
        <v>90</v>
      </c>
      <c r="AI4" s="117">
        <f t="shared" ref="AI4:AI13" si="0">SUM(Q4:AH4)</f>
        <v>1620</v>
      </c>
      <c r="AJ4" s="186">
        <v>90</v>
      </c>
      <c r="AK4" s="147">
        <v>90</v>
      </c>
      <c r="AL4" s="147">
        <v>90</v>
      </c>
      <c r="AM4" s="147">
        <v>90</v>
      </c>
      <c r="AN4" s="147">
        <v>90</v>
      </c>
      <c r="AO4" s="147">
        <v>90</v>
      </c>
      <c r="AP4" s="147">
        <v>90</v>
      </c>
      <c r="AQ4" s="147">
        <v>90</v>
      </c>
      <c r="AR4" s="147">
        <v>90</v>
      </c>
      <c r="AS4" s="147">
        <v>90</v>
      </c>
      <c r="AT4" s="147">
        <v>90</v>
      </c>
      <c r="AU4" s="147" t="s">
        <v>34</v>
      </c>
      <c r="AV4" s="147">
        <v>90</v>
      </c>
      <c r="AW4" s="147">
        <v>90</v>
      </c>
      <c r="AX4" s="147">
        <v>90</v>
      </c>
      <c r="AY4" s="147">
        <v>90</v>
      </c>
      <c r="AZ4" s="147">
        <v>90</v>
      </c>
      <c r="BA4" s="147">
        <v>90</v>
      </c>
      <c r="BB4" s="72">
        <f>SUM(AJ4:BA4)</f>
        <v>1530</v>
      </c>
      <c r="BC4" s="117">
        <f>SUM(AI4+BB4)</f>
        <v>3150</v>
      </c>
      <c r="BD4" s="75"/>
      <c r="BE4" s="75"/>
    </row>
    <row r="5" spans="1:57" x14ac:dyDescent="0.25">
      <c r="A5" s="27" t="s">
        <v>138</v>
      </c>
      <c r="B5" s="274" t="s">
        <v>346</v>
      </c>
      <c r="C5" s="275" t="s">
        <v>612</v>
      </c>
      <c r="D5" s="151"/>
      <c r="E5" s="101"/>
      <c r="F5" s="115"/>
      <c r="G5" s="101"/>
      <c r="H5" s="115"/>
      <c r="I5" s="117"/>
      <c r="J5" s="151"/>
      <c r="K5" s="101"/>
      <c r="L5" s="72">
        <v>0</v>
      </c>
      <c r="M5" s="151">
        <v>0</v>
      </c>
      <c r="N5" s="101">
        <v>0</v>
      </c>
      <c r="O5" s="151">
        <v>0</v>
      </c>
      <c r="P5" s="101">
        <v>4</v>
      </c>
      <c r="Q5" s="151" t="s">
        <v>34</v>
      </c>
      <c r="R5" s="147" t="s">
        <v>34</v>
      </c>
      <c r="S5" s="147" t="s">
        <v>34</v>
      </c>
      <c r="T5" s="147" t="s">
        <v>34</v>
      </c>
      <c r="U5" s="147" t="s">
        <v>34</v>
      </c>
      <c r="V5" s="147" t="s">
        <v>34</v>
      </c>
      <c r="W5" s="147" t="s">
        <v>34</v>
      </c>
      <c r="X5" s="147" t="s">
        <v>34</v>
      </c>
      <c r="Y5" s="147" t="s">
        <v>34</v>
      </c>
      <c r="Z5" s="147" t="s">
        <v>34</v>
      </c>
      <c r="AA5" s="147" t="s">
        <v>34</v>
      </c>
      <c r="AB5" s="147" t="s">
        <v>34</v>
      </c>
      <c r="AC5" s="147" t="s">
        <v>34</v>
      </c>
      <c r="AD5" s="147" t="s">
        <v>34</v>
      </c>
      <c r="AE5" s="147" t="s">
        <v>34</v>
      </c>
      <c r="AF5" s="147" t="s">
        <v>34</v>
      </c>
      <c r="AG5" s="147" t="s">
        <v>34</v>
      </c>
      <c r="AH5" s="101" t="s">
        <v>34</v>
      </c>
      <c r="AI5" s="117">
        <f t="shared" si="0"/>
        <v>0</v>
      </c>
      <c r="AJ5" s="186" t="s">
        <v>34</v>
      </c>
      <c r="AK5" s="147" t="s">
        <v>34</v>
      </c>
      <c r="AL5" s="147" t="s">
        <v>34</v>
      </c>
      <c r="AM5" s="147" t="s">
        <v>34</v>
      </c>
      <c r="AN5" s="147" t="s">
        <v>34</v>
      </c>
      <c r="AO5" s="147" t="s">
        <v>34</v>
      </c>
      <c r="AP5" s="147" t="s">
        <v>34</v>
      </c>
      <c r="AQ5" s="147" t="s">
        <v>34</v>
      </c>
      <c r="AR5" s="147" t="s">
        <v>34</v>
      </c>
      <c r="AS5" s="147" t="s">
        <v>34</v>
      </c>
      <c r="AT5" s="147" t="s">
        <v>34</v>
      </c>
      <c r="AU5" s="198">
        <v>0</v>
      </c>
      <c r="AV5" s="147" t="s">
        <v>34</v>
      </c>
      <c r="AW5" s="147" t="s">
        <v>34</v>
      </c>
      <c r="AX5" s="147" t="s">
        <v>34</v>
      </c>
      <c r="AY5" s="198">
        <v>0</v>
      </c>
      <c r="AZ5" s="198">
        <v>0</v>
      </c>
      <c r="BA5" s="198">
        <v>0</v>
      </c>
      <c r="BB5" s="72">
        <f t="shared" ref="BB5:BB38" si="1">SUM(AJ5:BA5)</f>
        <v>0</v>
      </c>
      <c r="BC5" s="117">
        <f t="shared" ref="BC5:BC38" si="2">SUM(AI5+BB5)</f>
        <v>0</v>
      </c>
      <c r="BD5" s="75"/>
      <c r="BE5" s="75"/>
    </row>
    <row r="6" spans="1:57" x14ac:dyDescent="0.25">
      <c r="A6" s="27" t="s">
        <v>138</v>
      </c>
      <c r="B6" s="274" t="s">
        <v>509</v>
      </c>
      <c r="C6" s="275" t="s">
        <v>690</v>
      </c>
      <c r="D6" s="151"/>
      <c r="E6" s="101"/>
      <c r="F6" s="115"/>
      <c r="G6" s="101"/>
      <c r="H6" s="115"/>
      <c r="I6" s="117"/>
      <c r="J6" s="151"/>
      <c r="K6" s="101"/>
      <c r="L6" s="72">
        <v>0</v>
      </c>
      <c r="M6" s="151">
        <v>0</v>
      </c>
      <c r="N6" s="101">
        <v>0</v>
      </c>
      <c r="O6" s="151">
        <v>1</v>
      </c>
      <c r="P6" s="101">
        <v>0</v>
      </c>
      <c r="Q6" s="151" t="s">
        <v>34</v>
      </c>
      <c r="R6" s="147" t="s">
        <v>34</v>
      </c>
      <c r="S6" s="147" t="s">
        <v>34</v>
      </c>
      <c r="T6" s="147" t="s">
        <v>34</v>
      </c>
      <c r="U6" s="147" t="s">
        <v>34</v>
      </c>
      <c r="V6" s="147" t="s">
        <v>34</v>
      </c>
      <c r="W6" s="147" t="s">
        <v>34</v>
      </c>
      <c r="X6" s="147" t="s">
        <v>34</v>
      </c>
      <c r="Y6" s="147" t="s">
        <v>34</v>
      </c>
      <c r="Z6" s="147" t="s">
        <v>34</v>
      </c>
      <c r="AA6" s="147" t="s">
        <v>34</v>
      </c>
      <c r="AB6" s="147" t="s">
        <v>34</v>
      </c>
      <c r="AC6" s="147" t="s">
        <v>34</v>
      </c>
      <c r="AD6" s="147" t="s">
        <v>34</v>
      </c>
      <c r="AE6" s="147" t="s">
        <v>34</v>
      </c>
      <c r="AF6" s="147" t="s">
        <v>34</v>
      </c>
      <c r="AG6" s="147" t="s">
        <v>34</v>
      </c>
      <c r="AH6" s="289">
        <v>0</v>
      </c>
      <c r="AI6" s="117">
        <f t="shared" si="0"/>
        <v>0</v>
      </c>
      <c r="AJ6" s="186" t="s">
        <v>34</v>
      </c>
      <c r="AK6" s="147" t="s">
        <v>34</v>
      </c>
      <c r="AL6" s="147" t="s">
        <v>34</v>
      </c>
      <c r="AM6" s="147" t="s">
        <v>34</v>
      </c>
      <c r="AN6" s="147" t="s">
        <v>34</v>
      </c>
      <c r="AO6" s="147" t="s">
        <v>34</v>
      </c>
      <c r="AP6" s="147" t="s">
        <v>34</v>
      </c>
      <c r="AQ6" s="147" t="s">
        <v>34</v>
      </c>
      <c r="AR6" s="147" t="s">
        <v>34</v>
      </c>
      <c r="AS6" s="147" t="s">
        <v>34</v>
      </c>
      <c r="AT6" s="147" t="s">
        <v>34</v>
      </c>
      <c r="AU6" s="147" t="s">
        <v>34</v>
      </c>
      <c r="AV6" s="147" t="s">
        <v>34</v>
      </c>
      <c r="AW6" s="147" t="s">
        <v>34</v>
      </c>
      <c r="AX6" s="147" t="s">
        <v>34</v>
      </c>
      <c r="AY6" s="147" t="s">
        <v>34</v>
      </c>
      <c r="AZ6" s="147" t="s">
        <v>34</v>
      </c>
      <c r="BA6" s="147" t="s">
        <v>34</v>
      </c>
      <c r="BB6" s="72">
        <f t="shared" si="1"/>
        <v>0</v>
      </c>
      <c r="BC6" s="117">
        <f t="shared" si="2"/>
        <v>0</v>
      </c>
      <c r="BD6" s="75"/>
      <c r="BE6" s="75"/>
    </row>
    <row r="7" spans="1:57" x14ac:dyDescent="0.25">
      <c r="A7" s="27" t="s">
        <v>138</v>
      </c>
      <c r="B7" s="274" t="s">
        <v>586</v>
      </c>
      <c r="C7" s="275" t="s">
        <v>483</v>
      </c>
      <c r="D7" s="151"/>
      <c r="E7" s="101">
        <v>-1</v>
      </c>
      <c r="F7" s="115"/>
      <c r="G7" s="101"/>
      <c r="H7" s="115"/>
      <c r="I7" s="117"/>
      <c r="J7" s="151"/>
      <c r="K7" s="101"/>
      <c r="L7" s="72">
        <v>1</v>
      </c>
      <c r="M7" s="151">
        <v>0</v>
      </c>
      <c r="N7" s="101">
        <v>1</v>
      </c>
      <c r="O7" s="151">
        <v>13</v>
      </c>
      <c r="P7" s="101">
        <v>14</v>
      </c>
      <c r="Q7" s="151" t="s">
        <v>34</v>
      </c>
      <c r="R7" s="147" t="s">
        <v>34</v>
      </c>
      <c r="S7" s="198">
        <v>0</v>
      </c>
      <c r="T7" s="198">
        <v>0</v>
      </c>
      <c r="U7" s="147" t="s">
        <v>34</v>
      </c>
      <c r="V7" s="147" t="s">
        <v>34</v>
      </c>
      <c r="W7" s="198">
        <v>0</v>
      </c>
      <c r="X7" s="198">
        <v>0</v>
      </c>
      <c r="Y7" s="198">
        <v>0</v>
      </c>
      <c r="Z7" s="198">
        <v>0</v>
      </c>
      <c r="AA7" s="198">
        <v>0</v>
      </c>
      <c r="AB7" s="198">
        <v>0</v>
      </c>
      <c r="AC7" s="198">
        <v>0</v>
      </c>
      <c r="AD7" s="198">
        <v>0</v>
      </c>
      <c r="AE7" s="198">
        <v>0</v>
      </c>
      <c r="AF7" s="198">
        <v>0</v>
      </c>
      <c r="AG7" s="198">
        <v>0</v>
      </c>
      <c r="AH7" s="101" t="s">
        <v>34</v>
      </c>
      <c r="AI7" s="117">
        <f t="shared" si="0"/>
        <v>0</v>
      </c>
      <c r="AJ7" s="195">
        <v>0</v>
      </c>
      <c r="AK7" s="198">
        <v>0</v>
      </c>
      <c r="AL7" s="198">
        <v>0</v>
      </c>
      <c r="AM7" s="198">
        <v>0</v>
      </c>
      <c r="AN7" s="198">
        <v>0</v>
      </c>
      <c r="AO7" s="198">
        <v>0</v>
      </c>
      <c r="AP7" s="198">
        <v>0</v>
      </c>
      <c r="AQ7" s="198">
        <v>0</v>
      </c>
      <c r="AR7" s="198">
        <v>0</v>
      </c>
      <c r="AS7" s="198">
        <v>0</v>
      </c>
      <c r="AT7" s="198">
        <v>0</v>
      </c>
      <c r="AU7" s="147">
        <v>90</v>
      </c>
      <c r="AV7" s="198">
        <v>0</v>
      </c>
      <c r="AW7" s="198">
        <v>0</v>
      </c>
      <c r="AX7" s="198">
        <v>0</v>
      </c>
      <c r="AY7" s="147" t="s">
        <v>34</v>
      </c>
      <c r="AZ7" s="147" t="s">
        <v>34</v>
      </c>
      <c r="BA7" s="147" t="s">
        <v>34</v>
      </c>
      <c r="BB7" s="72">
        <f t="shared" si="1"/>
        <v>90</v>
      </c>
      <c r="BC7" s="117">
        <f t="shared" si="2"/>
        <v>90</v>
      </c>
      <c r="BD7" s="75"/>
      <c r="BE7" s="75"/>
    </row>
    <row r="8" spans="1:57" x14ac:dyDescent="0.25">
      <c r="A8" s="27" t="s">
        <v>138</v>
      </c>
      <c r="B8" s="274" t="s">
        <v>603</v>
      </c>
      <c r="C8" s="275" t="s">
        <v>511</v>
      </c>
      <c r="D8" s="151"/>
      <c r="E8" s="101"/>
      <c r="F8" s="115"/>
      <c r="G8" s="101"/>
      <c r="H8" s="115"/>
      <c r="I8" s="117"/>
      <c r="J8" s="151"/>
      <c r="K8" s="101"/>
      <c r="L8" s="72">
        <v>0</v>
      </c>
      <c r="M8" s="151">
        <v>0</v>
      </c>
      <c r="N8" s="101">
        <v>0</v>
      </c>
      <c r="O8" s="151">
        <v>4</v>
      </c>
      <c r="P8" s="101">
        <v>0</v>
      </c>
      <c r="Q8" s="281">
        <v>0</v>
      </c>
      <c r="R8" s="198">
        <v>0</v>
      </c>
      <c r="S8" s="147" t="s">
        <v>34</v>
      </c>
      <c r="T8" s="147" t="s">
        <v>34</v>
      </c>
      <c r="U8" s="198">
        <v>0</v>
      </c>
      <c r="V8" s="198">
        <v>0</v>
      </c>
      <c r="W8" s="147" t="s">
        <v>34</v>
      </c>
      <c r="X8" s="147" t="s">
        <v>34</v>
      </c>
      <c r="Y8" s="147" t="s">
        <v>34</v>
      </c>
      <c r="Z8" s="147" t="s">
        <v>34</v>
      </c>
      <c r="AA8" s="147" t="s">
        <v>34</v>
      </c>
      <c r="AB8" s="147" t="s">
        <v>34</v>
      </c>
      <c r="AC8" s="147" t="s">
        <v>34</v>
      </c>
      <c r="AD8" s="147" t="s">
        <v>34</v>
      </c>
      <c r="AE8" s="147" t="s">
        <v>34</v>
      </c>
      <c r="AF8" s="147" t="s">
        <v>34</v>
      </c>
      <c r="AG8" s="147" t="s">
        <v>34</v>
      </c>
      <c r="AH8" s="101" t="s">
        <v>34</v>
      </c>
      <c r="AI8" s="117">
        <f t="shared" si="0"/>
        <v>0</v>
      </c>
      <c r="AJ8" s="51" t="s">
        <v>34</v>
      </c>
      <c r="AK8" s="147" t="s">
        <v>34</v>
      </c>
      <c r="AL8" s="147" t="s">
        <v>34</v>
      </c>
      <c r="AM8" s="147" t="s">
        <v>34</v>
      </c>
      <c r="AN8" s="147" t="s">
        <v>34</v>
      </c>
      <c r="AO8" s="147" t="s">
        <v>34</v>
      </c>
      <c r="AP8" s="147" t="s">
        <v>34</v>
      </c>
      <c r="AQ8" s="147" t="s">
        <v>34</v>
      </c>
      <c r="AR8" s="147" t="s">
        <v>34</v>
      </c>
      <c r="AS8" s="147" t="s">
        <v>34</v>
      </c>
      <c r="AT8" s="147" t="s">
        <v>34</v>
      </c>
      <c r="AU8" s="147" t="s">
        <v>34</v>
      </c>
      <c r="AV8" s="147" t="s">
        <v>34</v>
      </c>
      <c r="AW8" s="147" t="s">
        <v>34</v>
      </c>
      <c r="AX8" s="147" t="s">
        <v>34</v>
      </c>
      <c r="AY8" s="147" t="s">
        <v>34</v>
      </c>
      <c r="AZ8" s="147" t="s">
        <v>34</v>
      </c>
      <c r="BA8" s="147" t="s">
        <v>34</v>
      </c>
      <c r="BB8" s="72">
        <f t="shared" si="1"/>
        <v>0</v>
      </c>
      <c r="BC8" s="117">
        <f t="shared" si="2"/>
        <v>0</v>
      </c>
      <c r="BD8" s="75"/>
      <c r="BE8" s="75"/>
    </row>
    <row r="9" spans="1:57" x14ac:dyDescent="0.25">
      <c r="A9" s="28" t="s">
        <v>141</v>
      </c>
      <c r="B9" s="274" t="s">
        <v>579</v>
      </c>
      <c r="C9" s="275" t="s">
        <v>580</v>
      </c>
      <c r="D9" s="151"/>
      <c r="E9" s="312"/>
      <c r="F9" s="115"/>
      <c r="G9" s="101"/>
      <c r="H9" s="115">
        <v>3</v>
      </c>
      <c r="I9" s="117">
        <v>2</v>
      </c>
      <c r="J9" s="151">
        <v>2</v>
      </c>
      <c r="K9" s="101">
        <v>1</v>
      </c>
      <c r="L9" s="72">
        <v>30</v>
      </c>
      <c r="M9" s="151">
        <v>14</v>
      </c>
      <c r="N9" s="101">
        <v>16</v>
      </c>
      <c r="O9" s="151">
        <v>0</v>
      </c>
      <c r="P9" s="101">
        <v>0</v>
      </c>
      <c r="Q9" s="151">
        <v>90</v>
      </c>
      <c r="R9" s="147" t="s">
        <v>34</v>
      </c>
      <c r="S9" s="147" t="s">
        <v>34</v>
      </c>
      <c r="T9" s="147" t="s">
        <v>34</v>
      </c>
      <c r="U9" s="147">
        <v>76</v>
      </c>
      <c r="V9" s="147" t="s">
        <v>34</v>
      </c>
      <c r="W9" s="147">
        <v>90</v>
      </c>
      <c r="X9" s="147">
        <v>90</v>
      </c>
      <c r="Y9" s="147">
        <v>90</v>
      </c>
      <c r="Z9" s="147">
        <v>90</v>
      </c>
      <c r="AA9" s="147">
        <v>90</v>
      </c>
      <c r="AB9" s="147">
        <v>90</v>
      </c>
      <c r="AC9" s="147">
        <v>90</v>
      </c>
      <c r="AD9" s="147">
        <v>45</v>
      </c>
      <c r="AE9" s="147">
        <v>90</v>
      </c>
      <c r="AF9" s="147">
        <v>73</v>
      </c>
      <c r="AG9" s="147">
        <v>90</v>
      </c>
      <c r="AH9" s="101">
        <v>90</v>
      </c>
      <c r="AI9" s="117">
        <f t="shared" si="0"/>
        <v>1184</v>
      </c>
      <c r="AJ9" s="51">
        <v>72</v>
      </c>
      <c r="AK9" s="147" t="s">
        <v>34</v>
      </c>
      <c r="AL9" s="147">
        <v>90</v>
      </c>
      <c r="AM9" s="147">
        <v>90</v>
      </c>
      <c r="AN9" s="147">
        <v>90</v>
      </c>
      <c r="AO9" s="147">
        <v>90</v>
      </c>
      <c r="AP9" s="147">
        <v>45</v>
      </c>
      <c r="AQ9" s="147">
        <v>90</v>
      </c>
      <c r="AR9" s="147">
        <v>89</v>
      </c>
      <c r="AS9" s="147" t="s">
        <v>34</v>
      </c>
      <c r="AT9" s="147">
        <v>90</v>
      </c>
      <c r="AU9" s="147">
        <v>90</v>
      </c>
      <c r="AV9" s="147">
        <v>90</v>
      </c>
      <c r="AW9" s="147">
        <v>90</v>
      </c>
      <c r="AX9" s="147">
        <v>45</v>
      </c>
      <c r="AY9" s="147">
        <v>90</v>
      </c>
      <c r="AZ9" s="147">
        <v>90</v>
      </c>
      <c r="BA9" s="101">
        <v>90</v>
      </c>
      <c r="BB9" s="72">
        <f t="shared" si="1"/>
        <v>1331</v>
      </c>
      <c r="BC9" s="117">
        <f t="shared" si="2"/>
        <v>2515</v>
      </c>
      <c r="BD9" s="75"/>
      <c r="BE9" s="75"/>
    </row>
    <row r="10" spans="1:57" x14ac:dyDescent="0.25">
      <c r="A10" s="28" t="s">
        <v>141</v>
      </c>
      <c r="B10" s="274" t="s">
        <v>597</v>
      </c>
      <c r="C10" s="275" t="s">
        <v>598</v>
      </c>
      <c r="D10" s="151"/>
      <c r="E10" s="312"/>
      <c r="F10" s="115"/>
      <c r="G10" s="101"/>
      <c r="H10" s="115"/>
      <c r="I10" s="117">
        <v>2</v>
      </c>
      <c r="J10" s="151"/>
      <c r="K10" s="101"/>
      <c r="L10" s="72">
        <v>18</v>
      </c>
      <c r="M10" s="151">
        <v>9</v>
      </c>
      <c r="N10" s="101">
        <v>7</v>
      </c>
      <c r="O10" s="151">
        <v>7</v>
      </c>
      <c r="P10" s="101">
        <v>1</v>
      </c>
      <c r="Q10" s="281">
        <v>0</v>
      </c>
      <c r="R10" s="281">
        <v>0</v>
      </c>
      <c r="S10" s="147" t="s">
        <v>34</v>
      </c>
      <c r="T10" s="198">
        <v>4</v>
      </c>
      <c r="U10" s="198">
        <v>4</v>
      </c>
      <c r="V10" s="147">
        <v>90</v>
      </c>
      <c r="W10" s="147">
        <v>81</v>
      </c>
      <c r="X10" s="147">
        <v>90</v>
      </c>
      <c r="Y10" s="198">
        <v>0</v>
      </c>
      <c r="Z10" s="198">
        <v>0</v>
      </c>
      <c r="AA10" s="147" t="s">
        <v>34</v>
      </c>
      <c r="AB10" s="198">
        <v>0</v>
      </c>
      <c r="AC10" s="147">
        <v>90</v>
      </c>
      <c r="AD10" s="147">
        <v>90</v>
      </c>
      <c r="AE10" s="147">
        <v>90</v>
      </c>
      <c r="AF10" s="147">
        <v>90</v>
      </c>
      <c r="AG10" s="147">
        <v>90</v>
      </c>
      <c r="AH10" s="101">
        <v>86</v>
      </c>
      <c r="AI10" s="117">
        <f t="shared" si="0"/>
        <v>805</v>
      </c>
      <c r="AJ10" s="195">
        <v>0</v>
      </c>
      <c r="AK10" s="147" t="s">
        <v>34</v>
      </c>
      <c r="AL10" s="147" t="s">
        <v>34</v>
      </c>
      <c r="AM10" s="147" t="s">
        <v>34</v>
      </c>
      <c r="AN10" s="147" t="s">
        <v>34</v>
      </c>
      <c r="AO10" s="147" t="s">
        <v>34</v>
      </c>
      <c r="AP10" s="147">
        <v>90</v>
      </c>
      <c r="AQ10" s="147">
        <v>90</v>
      </c>
      <c r="AR10" s="147">
        <v>89</v>
      </c>
      <c r="AS10" s="147">
        <v>90</v>
      </c>
      <c r="AT10" s="147">
        <v>90</v>
      </c>
      <c r="AU10" s="147">
        <v>90</v>
      </c>
      <c r="AV10" s="147">
        <v>45</v>
      </c>
      <c r="AW10" s="147" t="s">
        <v>34</v>
      </c>
      <c r="AX10" s="147" t="s">
        <v>34</v>
      </c>
      <c r="AY10" s="147" t="s">
        <v>34</v>
      </c>
      <c r="AZ10" s="147" t="s">
        <v>34</v>
      </c>
      <c r="BA10" s="101" t="s">
        <v>34</v>
      </c>
      <c r="BB10" s="72">
        <f t="shared" si="1"/>
        <v>584</v>
      </c>
      <c r="BC10" s="117">
        <f t="shared" si="2"/>
        <v>1389</v>
      </c>
      <c r="BD10" s="75"/>
      <c r="BE10" s="75"/>
    </row>
    <row r="11" spans="1:57" x14ac:dyDescent="0.25">
      <c r="A11" s="28" t="s">
        <v>141</v>
      </c>
      <c r="B11" s="274" t="s">
        <v>492</v>
      </c>
      <c r="C11" s="275" t="s">
        <v>20</v>
      </c>
      <c r="D11" s="151">
        <v>1</v>
      </c>
      <c r="E11" s="312">
        <v>1</v>
      </c>
      <c r="F11" s="115"/>
      <c r="G11" s="101"/>
      <c r="H11" s="115">
        <v>4</v>
      </c>
      <c r="I11" s="117">
        <v>5</v>
      </c>
      <c r="J11" s="151"/>
      <c r="K11" s="101"/>
      <c r="L11" s="72">
        <v>33</v>
      </c>
      <c r="M11" s="151">
        <v>14</v>
      </c>
      <c r="N11" s="101">
        <v>17</v>
      </c>
      <c r="O11" s="151">
        <v>3</v>
      </c>
      <c r="P11" s="101">
        <v>0</v>
      </c>
      <c r="Q11" s="281">
        <v>1</v>
      </c>
      <c r="R11" s="147">
        <v>90</v>
      </c>
      <c r="S11" s="147" t="s">
        <v>34</v>
      </c>
      <c r="T11" s="147">
        <v>90</v>
      </c>
      <c r="U11" s="147">
        <v>90</v>
      </c>
      <c r="V11" s="147">
        <v>90</v>
      </c>
      <c r="W11" s="147">
        <v>90</v>
      </c>
      <c r="X11" s="147">
        <v>90</v>
      </c>
      <c r="Y11" s="198">
        <v>0</v>
      </c>
      <c r="Z11" s="198">
        <v>1</v>
      </c>
      <c r="AA11" s="147">
        <v>90</v>
      </c>
      <c r="AB11" s="147">
        <v>90</v>
      </c>
      <c r="AC11" s="147">
        <v>90</v>
      </c>
      <c r="AD11" s="147">
        <v>90</v>
      </c>
      <c r="AE11" s="147">
        <v>90</v>
      </c>
      <c r="AF11" s="147">
        <v>90</v>
      </c>
      <c r="AG11" s="147">
        <v>90</v>
      </c>
      <c r="AH11" s="101">
        <v>90</v>
      </c>
      <c r="AI11" s="117">
        <f t="shared" si="0"/>
        <v>1262</v>
      </c>
      <c r="AJ11" s="51">
        <v>90</v>
      </c>
      <c r="AK11" s="147">
        <v>90</v>
      </c>
      <c r="AL11" s="147">
        <v>90</v>
      </c>
      <c r="AM11" s="147">
        <v>90</v>
      </c>
      <c r="AN11" s="147">
        <v>90</v>
      </c>
      <c r="AO11" s="147" t="s">
        <v>34</v>
      </c>
      <c r="AP11" s="147">
        <v>90</v>
      </c>
      <c r="AQ11" s="147">
        <v>90</v>
      </c>
      <c r="AR11" s="147">
        <v>90</v>
      </c>
      <c r="AS11" s="147">
        <v>90</v>
      </c>
      <c r="AT11" s="147">
        <v>90</v>
      </c>
      <c r="AU11" s="147">
        <v>90</v>
      </c>
      <c r="AV11" s="147">
        <v>90</v>
      </c>
      <c r="AW11" s="147">
        <v>90</v>
      </c>
      <c r="AX11" s="147">
        <v>68</v>
      </c>
      <c r="AY11" s="147">
        <v>90</v>
      </c>
      <c r="AZ11" s="147">
        <v>90</v>
      </c>
      <c r="BA11" s="101">
        <v>90</v>
      </c>
      <c r="BB11" s="72">
        <f t="shared" si="1"/>
        <v>1508</v>
      </c>
      <c r="BC11" s="117">
        <f t="shared" si="2"/>
        <v>2770</v>
      </c>
      <c r="BD11" s="75"/>
      <c r="BE11" s="75"/>
    </row>
    <row r="12" spans="1:57" x14ac:dyDescent="0.25">
      <c r="A12" s="28" t="s">
        <v>141</v>
      </c>
      <c r="B12" s="274" t="s">
        <v>337</v>
      </c>
      <c r="C12" s="275" t="s">
        <v>2</v>
      </c>
      <c r="D12" s="151"/>
      <c r="E12" s="312"/>
      <c r="F12" s="115"/>
      <c r="G12" s="101"/>
      <c r="H12" s="115">
        <v>2</v>
      </c>
      <c r="I12" s="117">
        <v>9</v>
      </c>
      <c r="J12" s="151"/>
      <c r="K12" s="101"/>
      <c r="L12" s="72">
        <v>23</v>
      </c>
      <c r="M12" s="151">
        <v>8</v>
      </c>
      <c r="N12" s="101">
        <v>14</v>
      </c>
      <c r="O12" s="151">
        <v>0</v>
      </c>
      <c r="P12" s="101">
        <v>1</v>
      </c>
      <c r="Q12" s="151" t="s">
        <v>34</v>
      </c>
      <c r="R12" s="147" t="s">
        <v>34</v>
      </c>
      <c r="S12" s="147" t="s">
        <v>34</v>
      </c>
      <c r="T12" s="147" t="s">
        <v>34</v>
      </c>
      <c r="U12" s="147" t="s">
        <v>34</v>
      </c>
      <c r="V12" s="147" t="s">
        <v>34</v>
      </c>
      <c r="W12" s="147" t="s">
        <v>34</v>
      </c>
      <c r="X12" s="147" t="s">
        <v>34</v>
      </c>
      <c r="Y12" s="147" t="s">
        <v>34</v>
      </c>
      <c r="Z12" s="147" t="s">
        <v>34</v>
      </c>
      <c r="AA12" s="147">
        <v>90</v>
      </c>
      <c r="AB12" s="147">
        <v>90</v>
      </c>
      <c r="AC12" s="147">
        <v>90</v>
      </c>
      <c r="AD12" s="147">
        <v>90</v>
      </c>
      <c r="AE12" s="147">
        <v>90</v>
      </c>
      <c r="AF12" s="147">
        <v>90</v>
      </c>
      <c r="AG12" s="147">
        <v>90</v>
      </c>
      <c r="AH12" s="101">
        <v>86</v>
      </c>
      <c r="AI12" s="117">
        <f t="shared" si="0"/>
        <v>716</v>
      </c>
      <c r="AJ12" s="51">
        <v>90</v>
      </c>
      <c r="AK12" s="147">
        <v>90</v>
      </c>
      <c r="AL12" s="147">
        <v>90</v>
      </c>
      <c r="AM12" s="147">
        <v>90</v>
      </c>
      <c r="AN12" s="147" t="s">
        <v>34</v>
      </c>
      <c r="AO12" s="147">
        <v>74</v>
      </c>
      <c r="AP12" s="147">
        <v>90</v>
      </c>
      <c r="AQ12" s="147">
        <v>90</v>
      </c>
      <c r="AR12" s="147">
        <v>89</v>
      </c>
      <c r="AS12" s="147">
        <v>85</v>
      </c>
      <c r="AT12" s="147">
        <v>90</v>
      </c>
      <c r="AU12" s="147">
        <v>90</v>
      </c>
      <c r="AV12" s="147" t="s">
        <v>34</v>
      </c>
      <c r="AW12" s="147" t="s">
        <v>34</v>
      </c>
      <c r="AX12" s="198">
        <v>22</v>
      </c>
      <c r="AY12" s="147">
        <v>83</v>
      </c>
      <c r="AZ12" s="147">
        <v>61</v>
      </c>
      <c r="BA12" s="101">
        <v>83</v>
      </c>
      <c r="BB12" s="72">
        <f t="shared" si="1"/>
        <v>1217</v>
      </c>
      <c r="BC12" s="117">
        <f t="shared" si="2"/>
        <v>1933</v>
      </c>
      <c r="BD12" s="75"/>
      <c r="BE12" s="75"/>
    </row>
    <row r="13" spans="1:57" x14ac:dyDescent="0.25">
      <c r="A13" s="28" t="s">
        <v>141</v>
      </c>
      <c r="B13" s="274" t="s">
        <v>338</v>
      </c>
      <c r="C13" s="275" t="s">
        <v>16</v>
      </c>
      <c r="D13" s="151"/>
      <c r="E13" s="312"/>
      <c r="F13" s="115"/>
      <c r="G13" s="101"/>
      <c r="H13" s="115"/>
      <c r="I13" s="117"/>
      <c r="J13" s="151"/>
      <c r="K13" s="101"/>
      <c r="L13" s="72">
        <v>1</v>
      </c>
      <c r="M13" s="151">
        <v>1</v>
      </c>
      <c r="N13" s="101">
        <v>0</v>
      </c>
      <c r="O13" s="151">
        <v>0</v>
      </c>
      <c r="P13" s="101">
        <v>0</v>
      </c>
      <c r="Q13" s="151" t="s">
        <v>34</v>
      </c>
      <c r="R13" s="147" t="s">
        <v>34</v>
      </c>
      <c r="S13" s="147">
        <v>90</v>
      </c>
      <c r="T13" s="147" t="s">
        <v>34</v>
      </c>
      <c r="U13" s="147" t="s">
        <v>34</v>
      </c>
      <c r="V13" s="147" t="s">
        <v>34</v>
      </c>
      <c r="W13" s="147" t="s">
        <v>34</v>
      </c>
      <c r="X13" s="147" t="s">
        <v>34</v>
      </c>
      <c r="Y13" s="147" t="s">
        <v>34</v>
      </c>
      <c r="Z13" s="147" t="s">
        <v>34</v>
      </c>
      <c r="AA13" s="147" t="s">
        <v>34</v>
      </c>
      <c r="AB13" s="147" t="s">
        <v>34</v>
      </c>
      <c r="AC13" s="147" t="s">
        <v>34</v>
      </c>
      <c r="AD13" s="147" t="s">
        <v>34</v>
      </c>
      <c r="AE13" s="147" t="s">
        <v>34</v>
      </c>
      <c r="AF13" s="147" t="s">
        <v>34</v>
      </c>
      <c r="AG13" s="147" t="s">
        <v>34</v>
      </c>
      <c r="AH13" s="101" t="s">
        <v>34</v>
      </c>
      <c r="AI13" s="117">
        <f t="shared" si="0"/>
        <v>90</v>
      </c>
      <c r="AJ13" s="51" t="s">
        <v>34</v>
      </c>
      <c r="AK13" s="147" t="s">
        <v>34</v>
      </c>
      <c r="AL13" s="147" t="s">
        <v>34</v>
      </c>
      <c r="AM13" s="147" t="s">
        <v>34</v>
      </c>
      <c r="AN13" s="147" t="s">
        <v>34</v>
      </c>
      <c r="AO13" s="147" t="s">
        <v>34</v>
      </c>
      <c r="AP13" s="147" t="s">
        <v>34</v>
      </c>
      <c r="AQ13" s="147" t="s">
        <v>34</v>
      </c>
      <c r="AR13" s="147" t="s">
        <v>34</v>
      </c>
      <c r="AS13" s="147" t="s">
        <v>34</v>
      </c>
      <c r="AT13" s="147" t="s">
        <v>34</v>
      </c>
      <c r="AU13" s="147" t="s">
        <v>34</v>
      </c>
      <c r="AV13" s="147" t="s">
        <v>34</v>
      </c>
      <c r="AW13" s="147" t="s">
        <v>34</v>
      </c>
      <c r="AX13" s="147" t="s">
        <v>34</v>
      </c>
      <c r="AY13" s="147" t="s">
        <v>34</v>
      </c>
      <c r="AZ13" s="147" t="s">
        <v>34</v>
      </c>
      <c r="BA13" s="101" t="s">
        <v>34</v>
      </c>
      <c r="BB13" s="72">
        <f t="shared" si="1"/>
        <v>0</v>
      </c>
      <c r="BC13" s="117">
        <f t="shared" si="2"/>
        <v>90</v>
      </c>
      <c r="BD13" s="75"/>
      <c r="BE13" s="75"/>
    </row>
    <row r="14" spans="1:57" x14ac:dyDescent="0.25">
      <c r="A14" s="28" t="s">
        <v>141</v>
      </c>
      <c r="B14" s="274" t="s">
        <v>340</v>
      </c>
      <c r="C14" s="275" t="s">
        <v>508</v>
      </c>
      <c r="D14" s="151"/>
      <c r="E14" s="312"/>
      <c r="F14" s="115"/>
      <c r="G14" s="101"/>
      <c r="H14" s="115"/>
      <c r="I14" s="117">
        <v>1</v>
      </c>
      <c r="J14" s="151">
        <v>1</v>
      </c>
      <c r="K14" s="101">
        <v>1</v>
      </c>
      <c r="L14" s="72">
        <v>22</v>
      </c>
      <c r="M14" s="151">
        <v>10</v>
      </c>
      <c r="N14" s="101">
        <v>5</v>
      </c>
      <c r="O14" s="151">
        <v>6</v>
      </c>
      <c r="P14" s="101">
        <v>8</v>
      </c>
      <c r="Q14" s="151">
        <v>90</v>
      </c>
      <c r="R14" s="147">
        <v>90</v>
      </c>
      <c r="S14" s="147">
        <v>90</v>
      </c>
      <c r="T14" s="147">
        <v>90</v>
      </c>
      <c r="U14" s="147">
        <v>90</v>
      </c>
      <c r="V14" s="147">
        <v>90</v>
      </c>
      <c r="W14" s="147">
        <v>90</v>
      </c>
      <c r="X14" s="147" t="s">
        <v>34</v>
      </c>
      <c r="Y14" s="147">
        <v>90</v>
      </c>
      <c r="Z14" s="147">
        <v>90</v>
      </c>
      <c r="AA14" s="147">
        <v>53</v>
      </c>
      <c r="AB14" s="147" t="s">
        <v>34</v>
      </c>
      <c r="AC14" s="198">
        <v>0</v>
      </c>
      <c r="AD14" s="198">
        <v>45</v>
      </c>
      <c r="AE14" s="198">
        <v>0</v>
      </c>
      <c r="AF14" s="198">
        <v>0</v>
      </c>
      <c r="AG14" s="198">
        <v>1</v>
      </c>
      <c r="AH14" s="289">
        <v>0</v>
      </c>
      <c r="AI14" s="117">
        <f t="shared" ref="AI14:AI38" si="3">SUM(Q14:AH14)</f>
        <v>909</v>
      </c>
      <c r="AJ14" s="195">
        <v>18</v>
      </c>
      <c r="AK14" s="147">
        <v>90</v>
      </c>
      <c r="AL14" s="147" t="s">
        <v>34</v>
      </c>
      <c r="AM14" s="147" t="s">
        <v>34</v>
      </c>
      <c r="AN14" s="147" t="s">
        <v>34</v>
      </c>
      <c r="AO14" s="147">
        <v>90</v>
      </c>
      <c r="AP14" s="198">
        <v>45</v>
      </c>
      <c r="AQ14" s="198">
        <v>4</v>
      </c>
      <c r="AR14" s="198">
        <v>0</v>
      </c>
      <c r="AS14" s="198">
        <v>5</v>
      </c>
      <c r="AT14" s="198">
        <v>0</v>
      </c>
      <c r="AU14" s="147" t="s">
        <v>34</v>
      </c>
      <c r="AV14" s="147" t="s">
        <v>34</v>
      </c>
      <c r="AW14" s="198">
        <v>0</v>
      </c>
      <c r="AX14" s="198">
        <v>45</v>
      </c>
      <c r="AY14" s="147">
        <v>90</v>
      </c>
      <c r="AZ14" s="147">
        <v>90</v>
      </c>
      <c r="BA14" s="101">
        <v>90</v>
      </c>
      <c r="BB14" s="72">
        <f t="shared" si="1"/>
        <v>567</v>
      </c>
      <c r="BC14" s="117">
        <f t="shared" si="2"/>
        <v>1476</v>
      </c>
      <c r="BD14" s="75"/>
      <c r="BE14" s="75"/>
    </row>
    <row r="15" spans="1:57" x14ac:dyDescent="0.25">
      <c r="A15" s="28" t="s">
        <v>141</v>
      </c>
      <c r="B15" s="274" t="s">
        <v>342</v>
      </c>
      <c r="C15" s="275" t="s">
        <v>1</v>
      </c>
      <c r="D15" s="151"/>
      <c r="E15" s="312"/>
      <c r="F15" s="115"/>
      <c r="G15" s="101"/>
      <c r="H15" s="115"/>
      <c r="I15" s="117">
        <v>2</v>
      </c>
      <c r="J15" s="151"/>
      <c r="K15" s="101"/>
      <c r="L15" s="72">
        <v>19</v>
      </c>
      <c r="M15" s="151">
        <v>5</v>
      </c>
      <c r="N15" s="101">
        <v>11</v>
      </c>
      <c r="O15" s="151">
        <v>2</v>
      </c>
      <c r="P15" s="101">
        <v>1</v>
      </c>
      <c r="Q15" s="151">
        <v>90</v>
      </c>
      <c r="R15" s="147">
        <v>72</v>
      </c>
      <c r="S15" s="147">
        <v>77</v>
      </c>
      <c r="T15" s="147">
        <v>90</v>
      </c>
      <c r="U15" s="147">
        <v>90</v>
      </c>
      <c r="V15" s="147" t="s">
        <v>34</v>
      </c>
      <c r="W15" s="147" t="s">
        <v>34</v>
      </c>
      <c r="X15" s="147" t="s">
        <v>34</v>
      </c>
      <c r="Y15" s="147" t="s">
        <v>34</v>
      </c>
      <c r="Z15" s="147" t="s">
        <v>34</v>
      </c>
      <c r="AA15" s="147" t="s">
        <v>34</v>
      </c>
      <c r="AB15" s="147" t="s">
        <v>34</v>
      </c>
      <c r="AC15" s="147" t="s">
        <v>34</v>
      </c>
      <c r="AD15" s="147" t="s">
        <v>34</v>
      </c>
      <c r="AE15" s="147" t="s">
        <v>34</v>
      </c>
      <c r="AF15" s="147" t="s">
        <v>34</v>
      </c>
      <c r="AG15" s="198">
        <v>3</v>
      </c>
      <c r="AH15" s="289">
        <v>4</v>
      </c>
      <c r="AI15" s="117">
        <f t="shared" si="3"/>
        <v>426</v>
      </c>
      <c r="AJ15" s="51">
        <v>90</v>
      </c>
      <c r="AK15" s="147">
        <v>90</v>
      </c>
      <c r="AL15" s="147">
        <v>81</v>
      </c>
      <c r="AM15" s="147">
        <v>90</v>
      </c>
      <c r="AN15" s="147">
        <v>90</v>
      </c>
      <c r="AO15" s="147">
        <v>41</v>
      </c>
      <c r="AP15" s="147" t="s">
        <v>34</v>
      </c>
      <c r="AQ15" s="147" t="s">
        <v>34</v>
      </c>
      <c r="AR15" s="147" t="s">
        <v>34</v>
      </c>
      <c r="AS15" s="147" t="s">
        <v>34</v>
      </c>
      <c r="AT15" s="147" t="s">
        <v>34</v>
      </c>
      <c r="AU15" s="147" t="s">
        <v>34</v>
      </c>
      <c r="AV15" s="198">
        <v>45</v>
      </c>
      <c r="AW15" s="147">
        <v>90</v>
      </c>
      <c r="AX15" s="147">
        <v>90</v>
      </c>
      <c r="AY15" s="147">
        <v>90</v>
      </c>
      <c r="AZ15" s="147">
        <v>90</v>
      </c>
      <c r="BA15" s="101">
        <v>90</v>
      </c>
      <c r="BB15" s="72">
        <f t="shared" si="1"/>
        <v>977</v>
      </c>
      <c r="BC15" s="117">
        <f t="shared" si="2"/>
        <v>1403</v>
      </c>
      <c r="BD15" s="75"/>
      <c r="BE15" s="75"/>
    </row>
    <row r="16" spans="1:57" x14ac:dyDescent="0.25">
      <c r="A16" s="28" t="s">
        <v>141</v>
      </c>
      <c r="B16" s="274" t="s">
        <v>591</v>
      </c>
      <c r="C16" s="275" t="s">
        <v>918</v>
      </c>
      <c r="D16" s="151"/>
      <c r="E16" s="312"/>
      <c r="F16" s="115"/>
      <c r="G16" s="101"/>
      <c r="H16" s="115"/>
      <c r="I16" s="117">
        <v>1</v>
      </c>
      <c r="J16" s="151"/>
      <c r="K16" s="101"/>
      <c r="L16" s="72">
        <v>10</v>
      </c>
      <c r="M16" s="151">
        <v>2</v>
      </c>
      <c r="N16" s="101">
        <v>1</v>
      </c>
      <c r="O16" s="151">
        <v>2</v>
      </c>
      <c r="P16" s="101">
        <v>7</v>
      </c>
      <c r="Q16" s="151" t="s">
        <v>34</v>
      </c>
      <c r="R16" s="147" t="s">
        <v>34</v>
      </c>
      <c r="S16" s="147" t="s">
        <v>34</v>
      </c>
      <c r="T16" s="147" t="s">
        <v>34</v>
      </c>
      <c r="U16" s="147" t="s">
        <v>34</v>
      </c>
      <c r="V16" s="147">
        <v>90</v>
      </c>
      <c r="W16" s="198">
        <v>0</v>
      </c>
      <c r="X16" s="147">
        <v>90</v>
      </c>
      <c r="Y16" s="147" t="s">
        <v>34</v>
      </c>
      <c r="Z16" s="147" t="s">
        <v>34</v>
      </c>
      <c r="AA16" s="147" t="s">
        <v>34</v>
      </c>
      <c r="AB16" s="147" t="s">
        <v>34</v>
      </c>
      <c r="AC16" s="147" t="s">
        <v>34</v>
      </c>
      <c r="AD16" s="147" t="s">
        <v>34</v>
      </c>
      <c r="AE16" s="198">
        <v>4</v>
      </c>
      <c r="AF16" s="147" t="s">
        <v>34</v>
      </c>
      <c r="AG16" s="147" t="s">
        <v>34</v>
      </c>
      <c r="AH16" s="101" t="s">
        <v>34</v>
      </c>
      <c r="AI16" s="117">
        <f t="shared" si="3"/>
        <v>184</v>
      </c>
      <c r="AJ16" s="51" t="s">
        <v>34</v>
      </c>
      <c r="AK16" s="198">
        <v>0</v>
      </c>
      <c r="AL16" s="198">
        <v>9</v>
      </c>
      <c r="AM16" s="198">
        <v>5</v>
      </c>
      <c r="AN16" s="147">
        <v>74</v>
      </c>
      <c r="AO16" s="198">
        <v>49</v>
      </c>
      <c r="AP16" s="147" t="s">
        <v>34</v>
      </c>
      <c r="AQ16" s="147" t="s">
        <v>34</v>
      </c>
      <c r="AR16" s="147" t="s">
        <v>34</v>
      </c>
      <c r="AS16" s="147" t="s">
        <v>34</v>
      </c>
      <c r="AT16" s="147" t="s">
        <v>34</v>
      </c>
      <c r="AU16" s="198">
        <v>15</v>
      </c>
      <c r="AV16" s="198">
        <v>14</v>
      </c>
      <c r="AW16" s="147" t="s">
        <v>34</v>
      </c>
      <c r="AX16" s="147" t="s">
        <v>34</v>
      </c>
      <c r="AY16" s="198">
        <v>7</v>
      </c>
      <c r="AZ16" s="147" t="s">
        <v>34</v>
      </c>
      <c r="BA16" s="101" t="s">
        <v>34</v>
      </c>
      <c r="BB16" s="72">
        <f t="shared" si="1"/>
        <v>173</v>
      </c>
      <c r="BC16" s="117">
        <f t="shared" si="2"/>
        <v>357</v>
      </c>
      <c r="BD16" s="75"/>
      <c r="BE16" s="75"/>
    </row>
    <row r="17" spans="1:57" x14ac:dyDescent="0.25">
      <c r="A17" s="28" t="s">
        <v>141</v>
      </c>
      <c r="B17" s="274" t="s">
        <v>595</v>
      </c>
      <c r="C17" s="275" t="s">
        <v>596</v>
      </c>
      <c r="D17" s="151"/>
      <c r="E17" s="312"/>
      <c r="F17" s="115"/>
      <c r="G17" s="101"/>
      <c r="H17" s="115"/>
      <c r="I17" s="117"/>
      <c r="J17" s="151"/>
      <c r="K17" s="101"/>
      <c r="L17" s="72">
        <v>2</v>
      </c>
      <c r="M17" s="151">
        <v>1</v>
      </c>
      <c r="N17" s="101">
        <v>0</v>
      </c>
      <c r="O17" s="151">
        <v>2</v>
      </c>
      <c r="P17" s="101">
        <v>2</v>
      </c>
      <c r="Q17" s="151" t="s">
        <v>34</v>
      </c>
      <c r="R17" s="147" t="s">
        <v>34</v>
      </c>
      <c r="S17" s="198">
        <v>0</v>
      </c>
      <c r="T17" s="147">
        <v>86</v>
      </c>
      <c r="U17" s="147" t="s">
        <v>34</v>
      </c>
      <c r="V17" s="147" t="s">
        <v>34</v>
      </c>
      <c r="W17" s="147" t="s">
        <v>34</v>
      </c>
      <c r="X17" s="198">
        <v>0</v>
      </c>
      <c r="Y17" s="147" t="s">
        <v>34</v>
      </c>
      <c r="Z17" s="147" t="s">
        <v>34</v>
      </c>
      <c r="AA17" s="147" t="s">
        <v>34</v>
      </c>
      <c r="AB17" s="147" t="s">
        <v>34</v>
      </c>
      <c r="AC17" s="147" t="s">
        <v>34</v>
      </c>
      <c r="AD17" s="147" t="s">
        <v>34</v>
      </c>
      <c r="AE17" s="147" t="s">
        <v>34</v>
      </c>
      <c r="AF17" s="147" t="s">
        <v>34</v>
      </c>
      <c r="AG17" s="147" t="s">
        <v>34</v>
      </c>
      <c r="AH17" s="101" t="s">
        <v>34</v>
      </c>
      <c r="AI17" s="117">
        <f t="shared" si="3"/>
        <v>86</v>
      </c>
      <c r="AJ17" s="51" t="s">
        <v>34</v>
      </c>
      <c r="AK17" s="147" t="s">
        <v>34</v>
      </c>
      <c r="AL17" s="147" t="s">
        <v>34</v>
      </c>
      <c r="AM17" s="147" t="s">
        <v>34</v>
      </c>
      <c r="AN17" s="198">
        <v>16</v>
      </c>
      <c r="AO17" s="147" t="s">
        <v>34</v>
      </c>
      <c r="AP17" s="147" t="s">
        <v>34</v>
      </c>
      <c r="AQ17" s="198">
        <v>0</v>
      </c>
      <c r="AR17" s="147" t="s">
        <v>34</v>
      </c>
      <c r="AS17" s="147" t="s">
        <v>34</v>
      </c>
      <c r="AT17" s="147" t="s">
        <v>34</v>
      </c>
      <c r="AU17" s="147" t="s">
        <v>34</v>
      </c>
      <c r="AV17" s="147" t="s">
        <v>34</v>
      </c>
      <c r="AW17" s="147" t="s">
        <v>34</v>
      </c>
      <c r="AX17" s="147" t="s">
        <v>34</v>
      </c>
      <c r="AY17" s="147" t="s">
        <v>34</v>
      </c>
      <c r="AZ17" s="147" t="s">
        <v>34</v>
      </c>
      <c r="BA17" s="101" t="s">
        <v>34</v>
      </c>
      <c r="BB17" s="72">
        <f t="shared" si="1"/>
        <v>16</v>
      </c>
      <c r="BC17" s="117">
        <f t="shared" si="2"/>
        <v>102</v>
      </c>
      <c r="BD17" s="75"/>
      <c r="BE17" s="75"/>
    </row>
    <row r="18" spans="1:57" x14ac:dyDescent="0.25">
      <c r="A18" s="28" t="s">
        <v>141</v>
      </c>
      <c r="B18" s="274" t="s">
        <v>605</v>
      </c>
      <c r="C18" s="275" t="s">
        <v>496</v>
      </c>
      <c r="D18" s="151"/>
      <c r="E18" s="208"/>
      <c r="F18" s="115"/>
      <c r="G18" s="101"/>
      <c r="H18" s="115"/>
      <c r="I18" s="117"/>
      <c r="J18" s="151"/>
      <c r="K18" s="101"/>
      <c r="L18" s="72">
        <v>1</v>
      </c>
      <c r="M18" s="151">
        <v>1</v>
      </c>
      <c r="N18" s="101">
        <v>0</v>
      </c>
      <c r="O18" s="151">
        <v>0</v>
      </c>
      <c r="P18" s="101">
        <v>0</v>
      </c>
      <c r="Q18" s="151" t="s">
        <v>34</v>
      </c>
      <c r="R18" s="147" t="s">
        <v>34</v>
      </c>
      <c r="S18" s="147">
        <v>83</v>
      </c>
      <c r="T18" s="147" t="s">
        <v>34</v>
      </c>
      <c r="U18" s="147" t="s">
        <v>34</v>
      </c>
      <c r="V18" s="147" t="s">
        <v>34</v>
      </c>
      <c r="W18" s="147" t="s">
        <v>34</v>
      </c>
      <c r="X18" s="147" t="s">
        <v>34</v>
      </c>
      <c r="Y18" s="147" t="s">
        <v>34</v>
      </c>
      <c r="Z18" s="147" t="s">
        <v>34</v>
      </c>
      <c r="AA18" s="147" t="s">
        <v>34</v>
      </c>
      <c r="AB18" s="147" t="s">
        <v>34</v>
      </c>
      <c r="AC18" s="147" t="s">
        <v>34</v>
      </c>
      <c r="AD18" s="147" t="s">
        <v>34</v>
      </c>
      <c r="AE18" s="147" t="s">
        <v>34</v>
      </c>
      <c r="AF18" s="147" t="s">
        <v>34</v>
      </c>
      <c r="AG18" s="147" t="s">
        <v>34</v>
      </c>
      <c r="AH18" s="101" t="s">
        <v>34</v>
      </c>
      <c r="AI18" s="117">
        <f t="shared" si="3"/>
        <v>83</v>
      </c>
      <c r="AJ18" s="51" t="s">
        <v>34</v>
      </c>
      <c r="AK18" s="147" t="s">
        <v>34</v>
      </c>
      <c r="AL18" s="147" t="s">
        <v>34</v>
      </c>
      <c r="AM18" s="147" t="s">
        <v>34</v>
      </c>
      <c r="AN18" s="147" t="s">
        <v>34</v>
      </c>
      <c r="AO18" s="147" t="s">
        <v>34</v>
      </c>
      <c r="AP18" s="147" t="s">
        <v>34</v>
      </c>
      <c r="AQ18" s="147" t="s">
        <v>34</v>
      </c>
      <c r="AR18" s="147" t="s">
        <v>34</v>
      </c>
      <c r="AS18" s="147" t="s">
        <v>34</v>
      </c>
      <c r="AT18" s="147" t="s">
        <v>34</v>
      </c>
      <c r="AU18" s="147" t="s">
        <v>34</v>
      </c>
      <c r="AV18" s="147" t="s">
        <v>34</v>
      </c>
      <c r="AW18" s="147" t="s">
        <v>34</v>
      </c>
      <c r="AX18" s="147" t="s">
        <v>34</v>
      </c>
      <c r="AY18" s="147" t="s">
        <v>34</v>
      </c>
      <c r="AZ18" s="147" t="s">
        <v>34</v>
      </c>
      <c r="BA18" s="101" t="s">
        <v>34</v>
      </c>
      <c r="BB18" s="72">
        <f t="shared" ref="BB18" si="4">SUM(AJ18:BA18)</f>
        <v>0</v>
      </c>
      <c r="BC18" s="117">
        <f t="shared" ref="BC18" si="5">SUM(AI18+BB18)</f>
        <v>83</v>
      </c>
      <c r="BD18" s="75"/>
      <c r="BE18" s="75"/>
    </row>
    <row r="19" spans="1:57" x14ac:dyDescent="0.25">
      <c r="A19" s="29" t="s">
        <v>139</v>
      </c>
      <c r="B19" s="274" t="s">
        <v>582</v>
      </c>
      <c r="C19" s="275" t="s">
        <v>583</v>
      </c>
      <c r="D19" s="151">
        <v>1</v>
      </c>
      <c r="E19" s="313"/>
      <c r="F19" s="115"/>
      <c r="G19" s="101"/>
      <c r="H19" s="115">
        <v>1</v>
      </c>
      <c r="I19" s="117">
        <v>4</v>
      </c>
      <c r="J19" s="151"/>
      <c r="K19" s="101"/>
      <c r="L19" s="72">
        <v>31</v>
      </c>
      <c r="M19" s="151">
        <v>13</v>
      </c>
      <c r="N19" s="101">
        <v>12</v>
      </c>
      <c r="O19" s="151">
        <v>4</v>
      </c>
      <c r="P19" s="101">
        <v>3</v>
      </c>
      <c r="Q19" s="151">
        <v>90</v>
      </c>
      <c r="R19" s="147">
        <v>90</v>
      </c>
      <c r="S19" s="147">
        <v>90</v>
      </c>
      <c r="T19" s="147">
        <v>90</v>
      </c>
      <c r="U19" s="147">
        <v>86</v>
      </c>
      <c r="V19" s="147">
        <v>90</v>
      </c>
      <c r="W19" s="147">
        <v>81</v>
      </c>
      <c r="X19" s="147">
        <v>90</v>
      </c>
      <c r="Y19" s="147">
        <v>90</v>
      </c>
      <c r="Z19" s="147">
        <v>85</v>
      </c>
      <c r="AA19" s="147">
        <v>90</v>
      </c>
      <c r="AB19" s="198">
        <v>21</v>
      </c>
      <c r="AC19" s="198">
        <v>0</v>
      </c>
      <c r="AD19" s="147" t="s">
        <v>34</v>
      </c>
      <c r="AE19" s="198">
        <v>27</v>
      </c>
      <c r="AF19" s="198">
        <v>27</v>
      </c>
      <c r="AG19" s="147">
        <v>89</v>
      </c>
      <c r="AH19" s="101">
        <v>90</v>
      </c>
      <c r="AI19" s="117">
        <f t="shared" si="3"/>
        <v>1226</v>
      </c>
      <c r="AJ19" s="51">
        <v>90</v>
      </c>
      <c r="AK19" s="147">
        <v>90</v>
      </c>
      <c r="AL19" s="147">
        <v>90</v>
      </c>
      <c r="AM19" s="147">
        <v>85</v>
      </c>
      <c r="AN19" s="147">
        <v>90</v>
      </c>
      <c r="AO19" s="147" t="s">
        <v>34</v>
      </c>
      <c r="AP19" s="147">
        <v>78</v>
      </c>
      <c r="AQ19" s="198">
        <v>8</v>
      </c>
      <c r="AR19" s="147" t="s">
        <v>34</v>
      </c>
      <c r="AS19" s="147" t="s">
        <v>34</v>
      </c>
      <c r="AT19" s="147">
        <v>90</v>
      </c>
      <c r="AU19" s="147">
        <v>79</v>
      </c>
      <c r="AV19" s="147">
        <v>90</v>
      </c>
      <c r="AW19" s="147">
        <v>90</v>
      </c>
      <c r="AX19" s="147">
        <v>90</v>
      </c>
      <c r="AY19" s="198">
        <v>19</v>
      </c>
      <c r="AZ19" s="198">
        <v>14</v>
      </c>
      <c r="BA19" s="101">
        <v>83</v>
      </c>
      <c r="BB19" s="72">
        <f t="shared" si="1"/>
        <v>1086</v>
      </c>
      <c r="BC19" s="117">
        <f t="shared" si="2"/>
        <v>2312</v>
      </c>
      <c r="BD19" s="75"/>
      <c r="BE19" s="75"/>
    </row>
    <row r="20" spans="1:57" x14ac:dyDescent="0.25">
      <c r="A20" s="29" t="s">
        <v>139</v>
      </c>
      <c r="B20" s="274" t="s">
        <v>581</v>
      </c>
      <c r="C20" s="275" t="s">
        <v>923</v>
      </c>
      <c r="D20" s="151">
        <v>1</v>
      </c>
      <c r="E20" s="312">
        <v>1</v>
      </c>
      <c r="F20" s="115"/>
      <c r="G20" s="101"/>
      <c r="H20" s="115">
        <v>5</v>
      </c>
      <c r="I20" s="117">
        <v>4</v>
      </c>
      <c r="J20" s="151"/>
      <c r="K20" s="101"/>
      <c r="L20" s="72">
        <v>32</v>
      </c>
      <c r="M20" s="151">
        <v>13</v>
      </c>
      <c r="N20" s="101">
        <v>17</v>
      </c>
      <c r="O20" s="151">
        <v>2</v>
      </c>
      <c r="P20" s="101">
        <v>0</v>
      </c>
      <c r="Q20" s="151">
        <v>90</v>
      </c>
      <c r="R20" s="147">
        <v>45</v>
      </c>
      <c r="S20" s="147" t="s">
        <v>34</v>
      </c>
      <c r="T20" s="147" t="s">
        <v>34</v>
      </c>
      <c r="U20" s="147">
        <v>57</v>
      </c>
      <c r="V20" s="147">
        <v>81</v>
      </c>
      <c r="W20" s="147">
        <v>50</v>
      </c>
      <c r="X20" s="147">
        <v>62</v>
      </c>
      <c r="Y20" s="147">
        <v>90</v>
      </c>
      <c r="Z20" s="147">
        <v>89</v>
      </c>
      <c r="AA20" s="198">
        <v>1</v>
      </c>
      <c r="AB20" s="147">
        <v>85</v>
      </c>
      <c r="AC20" s="147">
        <v>90</v>
      </c>
      <c r="AD20" s="147">
        <v>84</v>
      </c>
      <c r="AE20" s="147">
        <v>63</v>
      </c>
      <c r="AF20" s="147">
        <v>90</v>
      </c>
      <c r="AG20" s="147" t="s">
        <v>34</v>
      </c>
      <c r="AH20" s="289">
        <v>27</v>
      </c>
      <c r="AI20" s="117">
        <f t="shared" si="3"/>
        <v>1004</v>
      </c>
      <c r="AJ20" s="51">
        <v>90</v>
      </c>
      <c r="AK20" s="147">
        <v>74</v>
      </c>
      <c r="AL20" s="147">
        <v>90</v>
      </c>
      <c r="AM20" s="147">
        <v>90</v>
      </c>
      <c r="AN20" s="147">
        <v>90</v>
      </c>
      <c r="AO20" s="147">
        <v>90</v>
      </c>
      <c r="AP20" s="147">
        <v>90</v>
      </c>
      <c r="AQ20" s="147">
        <v>90</v>
      </c>
      <c r="AR20" s="147">
        <v>90</v>
      </c>
      <c r="AS20" s="147">
        <v>90</v>
      </c>
      <c r="AT20" s="147">
        <v>90</v>
      </c>
      <c r="AU20" s="147">
        <v>90</v>
      </c>
      <c r="AV20" s="147">
        <v>90</v>
      </c>
      <c r="AW20" s="147">
        <v>90</v>
      </c>
      <c r="AX20" s="147">
        <v>90</v>
      </c>
      <c r="AY20" s="147">
        <v>90</v>
      </c>
      <c r="AZ20" s="147">
        <v>90</v>
      </c>
      <c r="BA20" s="101" t="s">
        <v>34</v>
      </c>
      <c r="BB20" s="72">
        <f t="shared" si="1"/>
        <v>1514</v>
      </c>
      <c r="BC20" s="117">
        <f t="shared" si="2"/>
        <v>2518</v>
      </c>
      <c r="BD20" s="75"/>
      <c r="BE20" s="75"/>
    </row>
    <row r="21" spans="1:57" x14ac:dyDescent="0.25">
      <c r="A21" s="29" t="s">
        <v>139</v>
      </c>
      <c r="B21" s="274" t="s">
        <v>599</v>
      </c>
      <c r="C21" s="275" t="s">
        <v>925</v>
      </c>
      <c r="D21" s="151"/>
      <c r="E21" s="312"/>
      <c r="F21" s="115"/>
      <c r="G21" s="101"/>
      <c r="H21" s="115"/>
      <c r="I21" s="117"/>
      <c r="J21" s="151"/>
      <c r="K21" s="101"/>
      <c r="L21" s="72">
        <v>12</v>
      </c>
      <c r="M21" s="151">
        <v>3</v>
      </c>
      <c r="N21" s="101">
        <v>1</v>
      </c>
      <c r="O21" s="151">
        <v>6</v>
      </c>
      <c r="P21" s="101">
        <v>4</v>
      </c>
      <c r="Q21" s="281">
        <v>7</v>
      </c>
      <c r="R21" s="198">
        <v>25</v>
      </c>
      <c r="S21" s="198">
        <v>13</v>
      </c>
      <c r="T21" s="147">
        <v>45</v>
      </c>
      <c r="U21" s="147" t="s">
        <v>34</v>
      </c>
      <c r="V21" s="147" t="s">
        <v>34</v>
      </c>
      <c r="W21" s="198">
        <v>23</v>
      </c>
      <c r="X21" s="147" t="s">
        <v>34</v>
      </c>
      <c r="Y21" s="147" t="s">
        <v>34</v>
      </c>
      <c r="Z21" s="198">
        <v>36</v>
      </c>
      <c r="AA21" s="147">
        <v>75</v>
      </c>
      <c r="AB21" s="147">
        <v>53</v>
      </c>
      <c r="AC21" s="147" t="s">
        <v>34</v>
      </c>
      <c r="AD21" s="198">
        <v>0</v>
      </c>
      <c r="AE21" s="147" t="s">
        <v>34</v>
      </c>
      <c r="AF21" s="147" t="s">
        <v>34</v>
      </c>
      <c r="AG21" s="147" t="s">
        <v>34</v>
      </c>
      <c r="AH21" s="101" t="s">
        <v>34</v>
      </c>
      <c r="AI21" s="117">
        <f t="shared" si="3"/>
        <v>277</v>
      </c>
      <c r="AJ21" s="51" t="s">
        <v>34</v>
      </c>
      <c r="AK21" s="147" t="s">
        <v>34</v>
      </c>
      <c r="AL21" s="147" t="s">
        <v>34</v>
      </c>
      <c r="AM21" s="147" t="s">
        <v>34</v>
      </c>
      <c r="AN21" s="147" t="s">
        <v>34</v>
      </c>
      <c r="AO21" s="198">
        <v>16</v>
      </c>
      <c r="AP21" s="198">
        <v>12</v>
      </c>
      <c r="AQ21" s="198">
        <v>0</v>
      </c>
      <c r="AR21" s="198">
        <v>21</v>
      </c>
      <c r="AS21" s="147" t="s">
        <v>34</v>
      </c>
      <c r="AT21" s="147" t="s">
        <v>34</v>
      </c>
      <c r="AU21" s="147" t="s">
        <v>34</v>
      </c>
      <c r="AV21" s="147" t="s">
        <v>34</v>
      </c>
      <c r="AW21" s="147" t="s">
        <v>34</v>
      </c>
      <c r="AX21" s="147" t="s">
        <v>34</v>
      </c>
      <c r="AY21" s="147" t="s">
        <v>34</v>
      </c>
      <c r="AZ21" s="147" t="s">
        <v>34</v>
      </c>
      <c r="BA21" s="101">
        <v>59</v>
      </c>
      <c r="BB21" s="72">
        <f t="shared" si="1"/>
        <v>108</v>
      </c>
      <c r="BC21" s="117">
        <f t="shared" si="2"/>
        <v>385</v>
      </c>
      <c r="BD21" s="75"/>
      <c r="BE21" s="75"/>
    </row>
    <row r="22" spans="1:57" x14ac:dyDescent="0.25">
      <c r="A22" s="29" t="s">
        <v>139</v>
      </c>
      <c r="B22" s="274" t="s">
        <v>592</v>
      </c>
      <c r="C22" s="275" t="s">
        <v>679</v>
      </c>
      <c r="D22" s="151"/>
      <c r="E22" s="312"/>
      <c r="F22" s="115"/>
      <c r="G22" s="101"/>
      <c r="H22" s="115"/>
      <c r="I22" s="117"/>
      <c r="J22" s="151"/>
      <c r="K22" s="101"/>
      <c r="L22" s="72">
        <v>4</v>
      </c>
      <c r="M22" s="151">
        <v>0</v>
      </c>
      <c r="N22" s="101">
        <v>1</v>
      </c>
      <c r="O22" s="151">
        <v>0</v>
      </c>
      <c r="P22" s="101">
        <v>4</v>
      </c>
      <c r="Q22" s="151" t="s">
        <v>34</v>
      </c>
      <c r="R22" s="147" t="s">
        <v>34</v>
      </c>
      <c r="S22" s="147" t="s">
        <v>34</v>
      </c>
      <c r="T22" s="147" t="s">
        <v>34</v>
      </c>
      <c r="U22" s="147" t="s">
        <v>34</v>
      </c>
      <c r="V22" s="147" t="s">
        <v>34</v>
      </c>
      <c r="W22" s="147" t="s">
        <v>34</v>
      </c>
      <c r="X22" s="147" t="s">
        <v>34</v>
      </c>
      <c r="Y22" s="147" t="s">
        <v>34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147" t="s">
        <v>34</v>
      </c>
      <c r="AE22" s="147" t="s">
        <v>34</v>
      </c>
      <c r="AF22" s="147" t="s">
        <v>34</v>
      </c>
      <c r="AG22" s="147" t="s">
        <v>34</v>
      </c>
      <c r="AH22" s="101" t="s">
        <v>34</v>
      </c>
      <c r="AI22" s="117">
        <f t="shared" si="3"/>
        <v>0</v>
      </c>
      <c r="AJ22" s="51" t="s">
        <v>34</v>
      </c>
      <c r="AK22" s="147" t="s">
        <v>34</v>
      </c>
      <c r="AL22" s="198">
        <v>1</v>
      </c>
      <c r="AM22" s="198">
        <v>5</v>
      </c>
      <c r="AN22" s="198">
        <v>12</v>
      </c>
      <c r="AO22" s="147">
        <v>45</v>
      </c>
      <c r="AP22" s="198">
        <v>0</v>
      </c>
      <c r="AQ22" s="147" t="s">
        <v>34</v>
      </c>
      <c r="AR22" s="147" t="s">
        <v>34</v>
      </c>
      <c r="AS22" s="147" t="s">
        <v>34</v>
      </c>
      <c r="AT22" s="147" t="s">
        <v>34</v>
      </c>
      <c r="AU22" s="147" t="s">
        <v>34</v>
      </c>
      <c r="AV22" s="147" t="s">
        <v>34</v>
      </c>
      <c r="AW22" s="147" t="s">
        <v>34</v>
      </c>
      <c r="AX22" s="147" t="s">
        <v>34</v>
      </c>
      <c r="AY22" s="147" t="s">
        <v>34</v>
      </c>
      <c r="AZ22" s="147" t="s">
        <v>34</v>
      </c>
      <c r="BA22" s="101" t="s">
        <v>34</v>
      </c>
      <c r="BB22" s="72">
        <f t="shared" si="1"/>
        <v>63</v>
      </c>
      <c r="BC22" s="117">
        <f t="shared" si="2"/>
        <v>63</v>
      </c>
      <c r="BD22" s="75"/>
      <c r="BE22" s="75"/>
    </row>
    <row r="23" spans="1:57" x14ac:dyDescent="0.25">
      <c r="A23" s="29" t="s">
        <v>139</v>
      </c>
      <c r="B23" s="274" t="s">
        <v>493</v>
      </c>
      <c r="C23" s="275" t="s">
        <v>929</v>
      </c>
      <c r="D23" s="151">
        <v>1</v>
      </c>
      <c r="E23" s="312"/>
      <c r="F23" s="115"/>
      <c r="G23" s="101"/>
      <c r="H23" s="115">
        <v>2</v>
      </c>
      <c r="I23" s="117">
        <v>2</v>
      </c>
      <c r="J23" s="151"/>
      <c r="K23" s="101"/>
      <c r="L23" s="72">
        <v>20</v>
      </c>
      <c r="M23" s="151">
        <v>9</v>
      </c>
      <c r="N23" s="101">
        <v>7</v>
      </c>
      <c r="O23" s="151">
        <v>5</v>
      </c>
      <c r="P23" s="101">
        <v>5</v>
      </c>
      <c r="Q23" s="151">
        <v>89</v>
      </c>
      <c r="R23" s="147">
        <v>65</v>
      </c>
      <c r="S23" s="147">
        <v>62</v>
      </c>
      <c r="T23" s="198">
        <v>0</v>
      </c>
      <c r="U23" s="147" t="s">
        <v>34</v>
      </c>
      <c r="V23" s="147" t="s">
        <v>34</v>
      </c>
      <c r="W23" s="198">
        <v>40</v>
      </c>
      <c r="X23" s="198">
        <v>0</v>
      </c>
      <c r="Y23" s="147">
        <v>70</v>
      </c>
      <c r="Z23" s="147">
        <v>90</v>
      </c>
      <c r="AA23" s="147">
        <v>89</v>
      </c>
      <c r="AB23" s="147">
        <v>69</v>
      </c>
      <c r="AC23" s="198">
        <v>0</v>
      </c>
      <c r="AD23" s="198">
        <v>6</v>
      </c>
      <c r="AE23" s="147" t="s">
        <v>34</v>
      </c>
      <c r="AF23" s="147" t="s">
        <v>34</v>
      </c>
      <c r="AG23" s="147">
        <v>89</v>
      </c>
      <c r="AH23" s="101">
        <v>63</v>
      </c>
      <c r="AI23" s="117">
        <f t="shared" si="3"/>
        <v>732</v>
      </c>
      <c r="AJ23" s="51" t="s">
        <v>34</v>
      </c>
      <c r="AK23" s="147" t="s">
        <v>34</v>
      </c>
      <c r="AL23" s="147" t="s">
        <v>34</v>
      </c>
      <c r="AM23" s="147" t="s">
        <v>34</v>
      </c>
      <c r="AN23" s="147" t="s">
        <v>34</v>
      </c>
      <c r="AO23" s="198">
        <v>10</v>
      </c>
      <c r="AP23" s="147" t="s">
        <v>34</v>
      </c>
      <c r="AQ23" s="147">
        <v>82</v>
      </c>
      <c r="AR23" s="147">
        <v>64</v>
      </c>
      <c r="AS23" s="198">
        <v>0</v>
      </c>
      <c r="AT23" s="198">
        <v>0</v>
      </c>
      <c r="AU23" s="198">
        <v>0</v>
      </c>
      <c r="AV23" s="147">
        <v>76</v>
      </c>
      <c r="AW23" s="147">
        <v>65</v>
      </c>
      <c r="AX23" s="147">
        <v>90</v>
      </c>
      <c r="AY23" s="147">
        <v>83</v>
      </c>
      <c r="AZ23" s="147">
        <v>83</v>
      </c>
      <c r="BA23" s="289">
        <v>7</v>
      </c>
      <c r="BB23" s="72">
        <f t="shared" si="1"/>
        <v>560</v>
      </c>
      <c r="BC23" s="117">
        <f t="shared" si="2"/>
        <v>1292</v>
      </c>
      <c r="BD23" s="75"/>
      <c r="BE23" s="75"/>
    </row>
    <row r="24" spans="1:57" x14ac:dyDescent="0.25">
      <c r="A24" s="29" t="s">
        <v>139</v>
      </c>
      <c r="B24" s="274" t="s">
        <v>489</v>
      </c>
      <c r="C24" s="275" t="s">
        <v>933</v>
      </c>
      <c r="D24" s="151"/>
      <c r="E24" s="312"/>
      <c r="F24" s="115"/>
      <c r="G24" s="101"/>
      <c r="H24" s="115">
        <v>1</v>
      </c>
      <c r="I24" s="117">
        <v>1</v>
      </c>
      <c r="J24" s="151">
        <v>1</v>
      </c>
      <c r="K24" s="101"/>
      <c r="L24" s="72">
        <v>21</v>
      </c>
      <c r="M24" s="151">
        <v>3</v>
      </c>
      <c r="N24" s="101">
        <v>2</v>
      </c>
      <c r="O24" s="151">
        <v>10</v>
      </c>
      <c r="P24" s="101">
        <v>8</v>
      </c>
      <c r="Q24" s="151" t="s">
        <v>34</v>
      </c>
      <c r="R24" s="198">
        <v>45</v>
      </c>
      <c r="S24" s="147">
        <v>77</v>
      </c>
      <c r="T24" s="198">
        <v>33</v>
      </c>
      <c r="U24" s="198">
        <v>17</v>
      </c>
      <c r="V24" s="198">
        <v>9</v>
      </c>
      <c r="W24" s="198">
        <v>9</v>
      </c>
      <c r="X24" s="147" t="s">
        <v>34</v>
      </c>
      <c r="Y24" s="147" t="s">
        <v>34</v>
      </c>
      <c r="Z24" s="147" t="s">
        <v>34</v>
      </c>
      <c r="AA24" s="198">
        <v>0</v>
      </c>
      <c r="AB24" s="198">
        <v>5</v>
      </c>
      <c r="AC24" s="198">
        <v>29</v>
      </c>
      <c r="AD24" s="198">
        <v>30</v>
      </c>
      <c r="AE24" s="147" t="s">
        <v>34</v>
      </c>
      <c r="AF24" s="198">
        <v>27</v>
      </c>
      <c r="AG24" s="147">
        <v>87</v>
      </c>
      <c r="AH24" s="101">
        <v>90</v>
      </c>
      <c r="AI24" s="117">
        <f t="shared" si="3"/>
        <v>458</v>
      </c>
      <c r="AJ24" s="51">
        <v>72</v>
      </c>
      <c r="AK24" s="198">
        <v>16</v>
      </c>
      <c r="AL24" s="198">
        <v>19</v>
      </c>
      <c r="AM24" s="147" t="s">
        <v>34</v>
      </c>
      <c r="AN24" s="147" t="s">
        <v>34</v>
      </c>
      <c r="AO24" s="147" t="s">
        <v>34</v>
      </c>
      <c r="AP24" s="147" t="s">
        <v>34</v>
      </c>
      <c r="AQ24" s="147" t="s">
        <v>34</v>
      </c>
      <c r="AR24" s="198">
        <v>1</v>
      </c>
      <c r="AS24" s="198">
        <v>15</v>
      </c>
      <c r="AT24" s="147" t="s">
        <v>34</v>
      </c>
      <c r="AU24" s="198">
        <v>15</v>
      </c>
      <c r="AV24" s="147">
        <v>66</v>
      </c>
      <c r="AW24" s="198">
        <v>16</v>
      </c>
      <c r="AX24" s="147" t="s">
        <v>34</v>
      </c>
      <c r="AY24" s="198">
        <v>0</v>
      </c>
      <c r="AZ24" s="198">
        <v>29</v>
      </c>
      <c r="BA24" s="101" t="s">
        <v>34</v>
      </c>
      <c r="BB24" s="72">
        <f t="shared" si="1"/>
        <v>249</v>
      </c>
      <c r="BC24" s="117">
        <f t="shared" si="2"/>
        <v>707</v>
      </c>
      <c r="BD24" s="75"/>
      <c r="BE24" s="75"/>
    </row>
    <row r="25" spans="1:57" x14ac:dyDescent="0.25">
      <c r="A25" s="29" t="s">
        <v>139</v>
      </c>
      <c r="B25" s="274" t="s">
        <v>600</v>
      </c>
      <c r="C25" s="275" t="s">
        <v>935</v>
      </c>
      <c r="D25" s="151"/>
      <c r="E25" s="312"/>
      <c r="F25" s="115"/>
      <c r="G25" s="101"/>
      <c r="H25" s="115"/>
      <c r="I25" s="117"/>
      <c r="J25" s="151"/>
      <c r="K25" s="101"/>
      <c r="L25" s="72">
        <v>10</v>
      </c>
      <c r="M25" s="151">
        <v>2</v>
      </c>
      <c r="N25" s="101">
        <v>0</v>
      </c>
      <c r="O25" s="151">
        <v>3</v>
      </c>
      <c r="P25" s="101">
        <v>9</v>
      </c>
      <c r="Q25" s="281">
        <v>0</v>
      </c>
      <c r="R25" s="147" t="s">
        <v>34</v>
      </c>
      <c r="S25" s="198">
        <v>7</v>
      </c>
      <c r="T25" s="147" t="s">
        <v>34</v>
      </c>
      <c r="U25" s="147" t="s">
        <v>34</v>
      </c>
      <c r="V25" s="147" t="s">
        <v>34</v>
      </c>
      <c r="W25" s="147" t="s">
        <v>34</v>
      </c>
      <c r="X25" s="147" t="s">
        <v>34</v>
      </c>
      <c r="Y25" s="147">
        <v>83</v>
      </c>
      <c r="Z25" s="147">
        <v>54</v>
      </c>
      <c r="AA25" s="147" t="s">
        <v>34</v>
      </c>
      <c r="AB25" s="147" t="s">
        <v>34</v>
      </c>
      <c r="AC25" s="147" t="s">
        <v>34</v>
      </c>
      <c r="AD25" s="147" t="s">
        <v>34</v>
      </c>
      <c r="AE25" s="147" t="s">
        <v>34</v>
      </c>
      <c r="AF25" s="147" t="s">
        <v>34</v>
      </c>
      <c r="AG25" s="198">
        <v>0</v>
      </c>
      <c r="AH25" s="101" t="s">
        <v>34</v>
      </c>
      <c r="AI25" s="117">
        <f t="shared" si="3"/>
        <v>144</v>
      </c>
      <c r="AJ25" s="195">
        <v>18</v>
      </c>
      <c r="AK25" s="198">
        <v>16</v>
      </c>
      <c r="AL25" s="198">
        <v>0</v>
      </c>
      <c r="AM25" s="198">
        <v>37</v>
      </c>
      <c r="AN25" s="147" t="s">
        <v>34</v>
      </c>
      <c r="AO25" s="198">
        <v>0</v>
      </c>
      <c r="AP25" s="147" t="s">
        <v>34</v>
      </c>
      <c r="AQ25" s="147" t="s">
        <v>34</v>
      </c>
      <c r="AR25" s="198">
        <v>21</v>
      </c>
      <c r="AS25" s="198">
        <v>15</v>
      </c>
      <c r="AT25" s="198">
        <v>45</v>
      </c>
      <c r="AU25" s="147" t="s">
        <v>34</v>
      </c>
      <c r="AV25" s="147" t="s">
        <v>34</v>
      </c>
      <c r="AW25" s="147" t="s">
        <v>34</v>
      </c>
      <c r="AX25" s="147" t="s">
        <v>34</v>
      </c>
      <c r="AY25" s="147" t="s">
        <v>34</v>
      </c>
      <c r="AZ25" s="147" t="s">
        <v>34</v>
      </c>
      <c r="BA25" s="289">
        <v>18</v>
      </c>
      <c r="BB25" s="72">
        <f t="shared" si="1"/>
        <v>170</v>
      </c>
      <c r="BC25" s="117">
        <f t="shared" si="2"/>
        <v>314</v>
      </c>
      <c r="BD25" s="75"/>
      <c r="BE25" s="75"/>
    </row>
    <row r="26" spans="1:57" x14ac:dyDescent="0.25">
      <c r="A26" s="29" t="s">
        <v>139</v>
      </c>
      <c r="B26" s="274" t="s">
        <v>486</v>
      </c>
      <c r="C26" s="275" t="s">
        <v>938</v>
      </c>
      <c r="D26" s="151">
        <v>3</v>
      </c>
      <c r="E26" s="312"/>
      <c r="F26" s="115"/>
      <c r="G26" s="101"/>
      <c r="H26" s="115">
        <v>2</v>
      </c>
      <c r="I26" s="117">
        <v>3</v>
      </c>
      <c r="J26" s="151">
        <v>1</v>
      </c>
      <c r="K26" s="101"/>
      <c r="L26" s="72">
        <v>34</v>
      </c>
      <c r="M26" s="151">
        <v>14</v>
      </c>
      <c r="N26" s="101">
        <v>15</v>
      </c>
      <c r="O26" s="151">
        <v>3</v>
      </c>
      <c r="P26" s="101">
        <v>2</v>
      </c>
      <c r="Q26" s="151">
        <v>90</v>
      </c>
      <c r="R26" s="147">
        <v>90</v>
      </c>
      <c r="S26" s="147">
        <v>90</v>
      </c>
      <c r="T26" s="147">
        <v>90</v>
      </c>
      <c r="U26" s="147">
        <v>90</v>
      </c>
      <c r="V26" s="147">
        <v>90</v>
      </c>
      <c r="W26" s="147">
        <v>90</v>
      </c>
      <c r="X26" s="147">
        <v>71</v>
      </c>
      <c r="Y26" s="147">
        <v>70</v>
      </c>
      <c r="Z26" s="147">
        <v>54</v>
      </c>
      <c r="AA26" s="198">
        <v>15</v>
      </c>
      <c r="AB26" s="198">
        <v>37</v>
      </c>
      <c r="AC26" s="147">
        <v>90</v>
      </c>
      <c r="AD26" s="147">
        <v>90</v>
      </c>
      <c r="AE26" s="147">
        <v>90</v>
      </c>
      <c r="AF26" s="147">
        <v>76</v>
      </c>
      <c r="AG26" s="147" t="s">
        <v>34</v>
      </c>
      <c r="AH26" s="289">
        <v>4</v>
      </c>
      <c r="AI26" s="117">
        <f t="shared" si="3"/>
        <v>1227</v>
      </c>
      <c r="AJ26" s="51">
        <v>62</v>
      </c>
      <c r="AK26" s="147">
        <v>90</v>
      </c>
      <c r="AL26" s="147">
        <v>90</v>
      </c>
      <c r="AM26" s="147">
        <v>90</v>
      </c>
      <c r="AN26" s="147">
        <v>85</v>
      </c>
      <c r="AO26" s="147" t="s">
        <v>34</v>
      </c>
      <c r="AP26" s="147">
        <v>78</v>
      </c>
      <c r="AQ26" s="147">
        <v>90</v>
      </c>
      <c r="AR26" s="147">
        <v>90</v>
      </c>
      <c r="AS26" s="147">
        <v>90</v>
      </c>
      <c r="AT26" s="147">
        <v>45</v>
      </c>
      <c r="AU26" s="147">
        <v>75</v>
      </c>
      <c r="AV26" s="147">
        <v>76</v>
      </c>
      <c r="AW26" s="147">
        <v>90</v>
      </c>
      <c r="AX26" s="147">
        <v>59</v>
      </c>
      <c r="AY26" s="198">
        <v>19</v>
      </c>
      <c r="AZ26" s="198">
        <v>7</v>
      </c>
      <c r="BA26" s="101">
        <v>72</v>
      </c>
      <c r="BB26" s="72">
        <f t="shared" si="1"/>
        <v>1208</v>
      </c>
      <c r="BC26" s="117">
        <f t="shared" si="2"/>
        <v>2435</v>
      </c>
      <c r="BD26" s="75"/>
      <c r="BE26" s="75"/>
    </row>
    <row r="27" spans="1:57" x14ac:dyDescent="0.25">
      <c r="A27" s="29" t="s">
        <v>139</v>
      </c>
      <c r="B27" s="274" t="s">
        <v>604</v>
      </c>
      <c r="C27" s="275" t="s">
        <v>795</v>
      </c>
      <c r="D27" s="151"/>
      <c r="E27" s="312"/>
      <c r="F27" s="115"/>
      <c r="G27" s="101"/>
      <c r="H27" s="115">
        <v>1</v>
      </c>
      <c r="I27" s="117"/>
      <c r="J27" s="151"/>
      <c r="K27" s="101"/>
      <c r="L27" s="72">
        <v>16</v>
      </c>
      <c r="M27" s="151">
        <v>6</v>
      </c>
      <c r="N27" s="101">
        <v>0</v>
      </c>
      <c r="O27" s="151">
        <v>9</v>
      </c>
      <c r="P27" s="101">
        <v>4</v>
      </c>
      <c r="Q27" s="151" t="s">
        <v>34</v>
      </c>
      <c r="R27" s="198">
        <v>25</v>
      </c>
      <c r="S27" s="198">
        <v>7</v>
      </c>
      <c r="T27" s="147">
        <v>57</v>
      </c>
      <c r="U27" s="198">
        <v>33</v>
      </c>
      <c r="V27" s="198">
        <v>0</v>
      </c>
      <c r="W27" s="147" t="s">
        <v>34</v>
      </c>
      <c r="X27" s="198">
        <v>28</v>
      </c>
      <c r="Y27" s="198">
        <v>20</v>
      </c>
      <c r="Z27" s="198">
        <v>0</v>
      </c>
      <c r="AA27" s="198">
        <v>1</v>
      </c>
      <c r="AB27" s="147">
        <v>90</v>
      </c>
      <c r="AC27" s="147">
        <v>90</v>
      </c>
      <c r="AD27" s="147">
        <v>90</v>
      </c>
      <c r="AE27" s="147">
        <v>90</v>
      </c>
      <c r="AF27" s="147">
        <v>63</v>
      </c>
      <c r="AG27" s="198">
        <v>1</v>
      </c>
      <c r="AH27" s="101" t="s">
        <v>34</v>
      </c>
      <c r="AI27" s="117">
        <f t="shared" ref="AI27" si="6">SUM(Q27:AH27)</f>
        <v>595</v>
      </c>
      <c r="AJ27" s="51" t="s">
        <v>34</v>
      </c>
      <c r="AK27" s="147" t="s">
        <v>34</v>
      </c>
      <c r="AL27" s="147" t="s">
        <v>34</v>
      </c>
      <c r="AM27" s="147" t="s">
        <v>34</v>
      </c>
      <c r="AN27" s="147" t="s">
        <v>34</v>
      </c>
      <c r="AO27" s="147" t="s">
        <v>34</v>
      </c>
      <c r="AP27" s="147" t="s">
        <v>34</v>
      </c>
      <c r="AQ27" s="147" t="s">
        <v>34</v>
      </c>
      <c r="AR27" s="147" t="s">
        <v>34</v>
      </c>
      <c r="AS27" s="147" t="s">
        <v>34</v>
      </c>
      <c r="AT27" s="147" t="s">
        <v>34</v>
      </c>
      <c r="AU27" s="198">
        <v>25</v>
      </c>
      <c r="AV27" s="198">
        <v>14</v>
      </c>
      <c r="AW27" s="198">
        <v>25</v>
      </c>
      <c r="AX27" s="198">
        <v>0</v>
      </c>
      <c r="AY27" s="147" t="s">
        <v>34</v>
      </c>
      <c r="AZ27" s="147" t="s">
        <v>34</v>
      </c>
      <c r="BA27" s="101" t="s">
        <v>34</v>
      </c>
      <c r="BB27" s="72">
        <f t="shared" ref="BB27" si="7">SUM(AJ27:BA27)</f>
        <v>64</v>
      </c>
      <c r="BC27" s="117">
        <f t="shared" ref="BC27" si="8">SUM(AI27+BB27)</f>
        <v>659</v>
      </c>
      <c r="BD27" s="75"/>
      <c r="BE27" s="75"/>
    </row>
    <row r="28" spans="1:57" x14ac:dyDescent="0.25">
      <c r="A28" s="29" t="s">
        <v>139</v>
      </c>
      <c r="B28" s="274" t="s">
        <v>594</v>
      </c>
      <c r="C28" s="275" t="s">
        <v>939</v>
      </c>
      <c r="D28" s="151"/>
      <c r="E28" s="312"/>
      <c r="F28" s="115"/>
      <c r="G28" s="101"/>
      <c r="H28" s="115"/>
      <c r="I28" s="117"/>
      <c r="J28" s="151"/>
      <c r="K28" s="101"/>
      <c r="L28" s="72">
        <v>3</v>
      </c>
      <c r="M28" s="151">
        <v>0</v>
      </c>
      <c r="N28" s="101">
        <v>2</v>
      </c>
      <c r="O28" s="151">
        <v>0</v>
      </c>
      <c r="P28" s="101">
        <v>4</v>
      </c>
      <c r="Q28" s="151" t="s">
        <v>34</v>
      </c>
      <c r="R28" s="147" t="s">
        <v>34</v>
      </c>
      <c r="S28" s="147" t="s">
        <v>34</v>
      </c>
      <c r="T28" s="147" t="s">
        <v>34</v>
      </c>
      <c r="U28" s="147" t="s">
        <v>34</v>
      </c>
      <c r="V28" s="147" t="s">
        <v>34</v>
      </c>
      <c r="W28" s="147" t="s">
        <v>34</v>
      </c>
      <c r="X28" s="147" t="s">
        <v>34</v>
      </c>
      <c r="Y28" s="147" t="s">
        <v>34</v>
      </c>
      <c r="Z28" s="147" t="s">
        <v>34</v>
      </c>
      <c r="AA28" s="147" t="s">
        <v>34</v>
      </c>
      <c r="AB28" s="147" t="s">
        <v>34</v>
      </c>
      <c r="AC28" s="147" t="s">
        <v>34</v>
      </c>
      <c r="AD28" s="147" t="s">
        <v>34</v>
      </c>
      <c r="AE28" s="147" t="s">
        <v>34</v>
      </c>
      <c r="AF28" s="147" t="s">
        <v>34</v>
      </c>
      <c r="AG28" s="147" t="s">
        <v>34</v>
      </c>
      <c r="AH28" s="101" t="s">
        <v>34</v>
      </c>
      <c r="AI28" s="117">
        <f t="shared" si="3"/>
        <v>0</v>
      </c>
      <c r="AJ28" s="51" t="s">
        <v>34</v>
      </c>
      <c r="AK28" s="147" t="s">
        <v>34</v>
      </c>
      <c r="AL28" s="147" t="s">
        <v>34</v>
      </c>
      <c r="AM28" s="147" t="s">
        <v>34</v>
      </c>
      <c r="AN28" s="198">
        <v>5</v>
      </c>
      <c r="AO28" s="147" t="s">
        <v>34</v>
      </c>
      <c r="AP28" s="198">
        <v>0</v>
      </c>
      <c r="AQ28" s="147" t="s">
        <v>34</v>
      </c>
      <c r="AR28" s="147" t="s">
        <v>34</v>
      </c>
      <c r="AS28" s="147">
        <v>90</v>
      </c>
      <c r="AT28" s="147">
        <v>45</v>
      </c>
      <c r="AU28" s="147" t="s">
        <v>34</v>
      </c>
      <c r="AV28" s="147" t="s">
        <v>34</v>
      </c>
      <c r="AW28" s="147" t="s">
        <v>34</v>
      </c>
      <c r="AX28" s="147" t="s">
        <v>34</v>
      </c>
      <c r="AY28" s="147" t="s">
        <v>34</v>
      </c>
      <c r="AZ28" s="198">
        <v>0</v>
      </c>
      <c r="BA28" s="289">
        <v>0</v>
      </c>
      <c r="BB28" s="72">
        <f t="shared" si="1"/>
        <v>140</v>
      </c>
      <c r="BC28" s="117">
        <f t="shared" si="2"/>
        <v>140</v>
      </c>
      <c r="BD28" s="75"/>
      <c r="BE28" s="75"/>
    </row>
    <row r="29" spans="1:57" x14ac:dyDescent="0.25">
      <c r="A29" s="98" t="s">
        <v>139</v>
      </c>
      <c r="B29" s="274" t="s">
        <v>593</v>
      </c>
      <c r="C29" s="207" t="s">
        <v>941</v>
      </c>
      <c r="D29" s="151">
        <v>1</v>
      </c>
      <c r="E29" s="312"/>
      <c r="F29" s="115"/>
      <c r="G29" s="101"/>
      <c r="H29" s="115">
        <v>2</v>
      </c>
      <c r="I29" s="117">
        <v>1</v>
      </c>
      <c r="J29" s="151"/>
      <c r="K29" s="101"/>
      <c r="L29" s="72">
        <v>24</v>
      </c>
      <c r="M29" s="151">
        <v>14</v>
      </c>
      <c r="N29" s="101">
        <v>1</v>
      </c>
      <c r="O29" s="151">
        <v>4</v>
      </c>
      <c r="P29" s="101">
        <v>5</v>
      </c>
      <c r="Q29" s="281">
        <v>1</v>
      </c>
      <c r="R29" s="198">
        <v>18</v>
      </c>
      <c r="S29" s="198">
        <v>28</v>
      </c>
      <c r="T29" s="198">
        <v>45</v>
      </c>
      <c r="U29" s="147">
        <v>73</v>
      </c>
      <c r="V29" s="147">
        <v>61</v>
      </c>
      <c r="W29" s="147">
        <v>67</v>
      </c>
      <c r="X29" s="147">
        <v>82</v>
      </c>
      <c r="Y29" s="147">
        <v>90</v>
      </c>
      <c r="Z29" s="147">
        <v>90</v>
      </c>
      <c r="AA29" s="147">
        <v>89</v>
      </c>
      <c r="AB29" s="147">
        <v>85</v>
      </c>
      <c r="AC29" s="147">
        <v>87</v>
      </c>
      <c r="AD29" s="147">
        <v>45</v>
      </c>
      <c r="AE29" s="147">
        <v>86</v>
      </c>
      <c r="AF29" s="147">
        <v>63</v>
      </c>
      <c r="AG29" s="147">
        <v>90</v>
      </c>
      <c r="AH29" s="101">
        <v>75</v>
      </c>
      <c r="AI29" s="117">
        <f t="shared" si="3"/>
        <v>1175</v>
      </c>
      <c r="AJ29" s="51">
        <v>54</v>
      </c>
      <c r="AK29" s="198">
        <v>5</v>
      </c>
      <c r="AL29" s="147" t="s">
        <v>34</v>
      </c>
      <c r="AM29" s="147" t="s">
        <v>34</v>
      </c>
      <c r="AN29" s="198">
        <v>5</v>
      </c>
      <c r="AO29" s="198">
        <v>45</v>
      </c>
      <c r="AP29" s="147" t="s">
        <v>34</v>
      </c>
      <c r="AQ29" s="147" t="s">
        <v>34</v>
      </c>
      <c r="AR29" s="198">
        <v>1</v>
      </c>
      <c r="AS29" s="147" t="s">
        <v>34</v>
      </c>
      <c r="AT29" s="147" t="s">
        <v>34</v>
      </c>
      <c r="AU29" s="147" t="s">
        <v>34</v>
      </c>
      <c r="AV29" s="147" t="s">
        <v>34</v>
      </c>
      <c r="AW29" s="147" t="s">
        <v>34</v>
      </c>
      <c r="AX29" s="147" t="s">
        <v>34</v>
      </c>
      <c r="AY29" s="147" t="s">
        <v>34</v>
      </c>
      <c r="AZ29" s="147" t="s">
        <v>34</v>
      </c>
      <c r="BA29" s="289">
        <v>7</v>
      </c>
      <c r="BB29" s="72">
        <f t="shared" si="1"/>
        <v>117</v>
      </c>
      <c r="BC29" s="117">
        <f t="shared" si="2"/>
        <v>1292</v>
      </c>
      <c r="BD29" s="75"/>
      <c r="BE29" s="75"/>
    </row>
    <row r="30" spans="1:57" x14ac:dyDescent="0.25">
      <c r="A30" s="30" t="s">
        <v>140</v>
      </c>
      <c r="B30" s="274" t="s">
        <v>587</v>
      </c>
      <c r="C30" s="275" t="s">
        <v>588</v>
      </c>
      <c r="D30" s="151">
        <v>1</v>
      </c>
      <c r="E30" s="312"/>
      <c r="F30" s="115"/>
      <c r="G30" s="101"/>
      <c r="H30" s="115">
        <v>1</v>
      </c>
      <c r="I30" s="117">
        <v>1</v>
      </c>
      <c r="J30" s="151"/>
      <c r="K30" s="101"/>
      <c r="L30" s="72">
        <v>21</v>
      </c>
      <c r="M30" s="151">
        <v>0</v>
      </c>
      <c r="N30" s="101">
        <v>4</v>
      </c>
      <c r="O30" s="151">
        <v>14</v>
      </c>
      <c r="P30" s="101">
        <v>12</v>
      </c>
      <c r="Q30" s="281">
        <v>32</v>
      </c>
      <c r="R30" s="198">
        <v>18</v>
      </c>
      <c r="S30" s="198">
        <v>13</v>
      </c>
      <c r="T30" s="198">
        <v>17</v>
      </c>
      <c r="U30" s="198">
        <v>0</v>
      </c>
      <c r="V30" s="198">
        <v>0</v>
      </c>
      <c r="W30" s="147" t="s">
        <v>34</v>
      </c>
      <c r="X30" s="147" t="s">
        <v>34</v>
      </c>
      <c r="Y30" s="198">
        <v>7</v>
      </c>
      <c r="Z30" s="147" t="s">
        <v>34</v>
      </c>
      <c r="AA30" s="147" t="s">
        <v>34</v>
      </c>
      <c r="AB30" s="198">
        <v>5</v>
      </c>
      <c r="AC30" s="198">
        <v>3</v>
      </c>
      <c r="AD30" s="198">
        <v>45</v>
      </c>
      <c r="AE30" s="198">
        <v>27</v>
      </c>
      <c r="AF30" s="198">
        <v>27</v>
      </c>
      <c r="AG30" s="198">
        <v>1</v>
      </c>
      <c r="AH30" s="289">
        <v>15</v>
      </c>
      <c r="AI30" s="117">
        <f t="shared" si="3"/>
        <v>210</v>
      </c>
      <c r="AJ30" s="195">
        <v>0</v>
      </c>
      <c r="AK30" s="198">
        <v>0</v>
      </c>
      <c r="AL30" s="198">
        <v>0</v>
      </c>
      <c r="AM30" s="198">
        <v>0</v>
      </c>
      <c r="AN30" s="198">
        <v>0</v>
      </c>
      <c r="AO30" s="198">
        <v>16</v>
      </c>
      <c r="AP30" s="198">
        <v>0</v>
      </c>
      <c r="AQ30" s="147">
        <v>89</v>
      </c>
      <c r="AR30" s="147">
        <v>69</v>
      </c>
      <c r="AS30" s="147">
        <v>75</v>
      </c>
      <c r="AT30" s="147">
        <v>80</v>
      </c>
      <c r="AU30" s="198">
        <v>11</v>
      </c>
      <c r="AV30" s="147" t="s">
        <v>34</v>
      </c>
      <c r="AW30" s="198">
        <v>16</v>
      </c>
      <c r="AX30" s="198">
        <v>45</v>
      </c>
      <c r="AY30" s="198">
        <v>7</v>
      </c>
      <c r="AZ30" s="198">
        <v>0</v>
      </c>
      <c r="BA30" s="101" t="s">
        <v>34</v>
      </c>
      <c r="BB30" s="72">
        <f t="shared" si="1"/>
        <v>408</v>
      </c>
      <c r="BC30" s="117">
        <f t="shared" si="2"/>
        <v>618</v>
      </c>
      <c r="BD30" s="75"/>
      <c r="BE30" s="75"/>
    </row>
    <row r="31" spans="1:57" x14ac:dyDescent="0.25">
      <c r="A31" s="30" t="s">
        <v>140</v>
      </c>
      <c r="B31" s="274" t="s">
        <v>490</v>
      </c>
      <c r="C31" s="275" t="s">
        <v>500</v>
      </c>
      <c r="D31" s="151"/>
      <c r="E31" s="312">
        <v>2</v>
      </c>
      <c r="F31" s="115"/>
      <c r="G31" s="101"/>
      <c r="H31" s="115"/>
      <c r="I31" s="117"/>
      <c r="J31" s="151"/>
      <c r="K31" s="101"/>
      <c r="L31" s="72">
        <v>13</v>
      </c>
      <c r="M31" s="151">
        <v>0</v>
      </c>
      <c r="N31" s="101">
        <v>6</v>
      </c>
      <c r="O31" s="151">
        <v>3</v>
      </c>
      <c r="P31" s="101">
        <v>5</v>
      </c>
      <c r="Q31" s="151" t="s">
        <v>34</v>
      </c>
      <c r="R31" s="147" t="s">
        <v>34</v>
      </c>
      <c r="S31" s="147" t="s">
        <v>34</v>
      </c>
      <c r="T31" s="147" t="s">
        <v>34</v>
      </c>
      <c r="U31" s="147" t="s">
        <v>34</v>
      </c>
      <c r="V31" s="198">
        <v>9</v>
      </c>
      <c r="W31" s="147" t="s">
        <v>34</v>
      </c>
      <c r="X31" s="198">
        <v>19</v>
      </c>
      <c r="Y31" s="147" t="s">
        <v>34</v>
      </c>
      <c r="Z31" s="147" t="s">
        <v>34</v>
      </c>
      <c r="AA31" s="147" t="s">
        <v>34</v>
      </c>
      <c r="AB31" s="147" t="s">
        <v>34</v>
      </c>
      <c r="AC31" s="147" t="s">
        <v>34</v>
      </c>
      <c r="AD31" s="147" t="s">
        <v>34</v>
      </c>
      <c r="AE31" s="147" t="s">
        <v>34</v>
      </c>
      <c r="AF31" s="147" t="s">
        <v>34</v>
      </c>
      <c r="AG31" s="198">
        <v>9</v>
      </c>
      <c r="AH31" s="101" t="s">
        <v>34</v>
      </c>
      <c r="AI31" s="117">
        <f t="shared" si="3"/>
        <v>37</v>
      </c>
      <c r="AJ31" s="195">
        <v>28</v>
      </c>
      <c r="AK31" s="147">
        <v>85</v>
      </c>
      <c r="AL31" s="147">
        <v>71</v>
      </c>
      <c r="AM31" s="147">
        <v>53</v>
      </c>
      <c r="AN31" s="147" t="s">
        <v>34</v>
      </c>
      <c r="AO31" s="147" t="s">
        <v>34</v>
      </c>
      <c r="AP31" s="147" t="s">
        <v>34</v>
      </c>
      <c r="AQ31" s="147" t="s">
        <v>34</v>
      </c>
      <c r="AR31" s="147" t="s">
        <v>34</v>
      </c>
      <c r="AS31" s="147">
        <v>56</v>
      </c>
      <c r="AT31" s="198">
        <v>45</v>
      </c>
      <c r="AU31" s="147">
        <v>75</v>
      </c>
      <c r="AV31" s="147">
        <v>81</v>
      </c>
      <c r="AW31" s="198">
        <v>0</v>
      </c>
      <c r="AX31" s="198">
        <v>31</v>
      </c>
      <c r="AY31" s="147" t="s">
        <v>34</v>
      </c>
      <c r="AZ31" s="147" t="s">
        <v>34</v>
      </c>
      <c r="BA31" s="289">
        <v>31</v>
      </c>
      <c r="BB31" s="72">
        <f t="shared" si="1"/>
        <v>556</v>
      </c>
      <c r="BC31" s="117">
        <f t="shared" si="2"/>
        <v>593</v>
      </c>
      <c r="BD31" s="75"/>
      <c r="BE31" s="75"/>
    </row>
    <row r="32" spans="1:57" x14ac:dyDescent="0.25">
      <c r="A32" s="30" t="s">
        <v>140</v>
      </c>
      <c r="B32" s="274" t="s">
        <v>585</v>
      </c>
      <c r="C32" s="207" t="s">
        <v>948</v>
      </c>
      <c r="D32" s="151">
        <v>1</v>
      </c>
      <c r="E32" s="312">
        <v>2</v>
      </c>
      <c r="F32" s="115"/>
      <c r="G32" s="101"/>
      <c r="H32" s="115">
        <v>2</v>
      </c>
      <c r="I32" s="117">
        <v>1</v>
      </c>
      <c r="J32" s="151"/>
      <c r="K32" s="101"/>
      <c r="L32" s="72">
        <v>34</v>
      </c>
      <c r="M32" s="151">
        <v>14</v>
      </c>
      <c r="N32" s="101">
        <v>10</v>
      </c>
      <c r="O32" s="151">
        <v>4</v>
      </c>
      <c r="P32" s="101">
        <v>6</v>
      </c>
      <c r="Q32" s="151">
        <v>89</v>
      </c>
      <c r="R32" s="147">
        <v>72</v>
      </c>
      <c r="S32" s="147">
        <v>83</v>
      </c>
      <c r="T32" s="147">
        <v>45</v>
      </c>
      <c r="U32" s="198">
        <v>17</v>
      </c>
      <c r="V32" s="198">
        <v>29</v>
      </c>
      <c r="W32" s="198">
        <v>23</v>
      </c>
      <c r="X32" s="198">
        <v>28</v>
      </c>
      <c r="Y32" s="147">
        <v>83</v>
      </c>
      <c r="Z32" s="147">
        <v>90</v>
      </c>
      <c r="AA32" s="147">
        <v>90</v>
      </c>
      <c r="AB32" s="147">
        <v>85</v>
      </c>
      <c r="AC32" s="147">
        <v>61</v>
      </c>
      <c r="AD32" s="147">
        <v>45</v>
      </c>
      <c r="AE32" s="147">
        <v>63</v>
      </c>
      <c r="AF32" s="147">
        <v>63</v>
      </c>
      <c r="AG32" s="147">
        <v>89</v>
      </c>
      <c r="AH32" s="101">
        <v>63</v>
      </c>
      <c r="AI32" s="117">
        <f t="shared" ref="AI32" si="9">SUM(Q32:AH32)</f>
        <v>1118</v>
      </c>
      <c r="AJ32" s="51" t="s">
        <v>34</v>
      </c>
      <c r="AK32" s="147">
        <v>74</v>
      </c>
      <c r="AL32" s="147">
        <v>89</v>
      </c>
      <c r="AM32" s="147">
        <v>85</v>
      </c>
      <c r="AN32" s="147">
        <v>78</v>
      </c>
      <c r="AO32" s="147">
        <v>90</v>
      </c>
      <c r="AP32" s="147">
        <v>90</v>
      </c>
      <c r="AQ32" s="198">
        <v>8</v>
      </c>
      <c r="AR32" s="198">
        <v>26</v>
      </c>
      <c r="AS32" s="198">
        <v>34</v>
      </c>
      <c r="AT32" s="198">
        <v>23</v>
      </c>
      <c r="AU32" s="198">
        <v>11</v>
      </c>
      <c r="AV32" s="198">
        <v>24</v>
      </c>
      <c r="AW32" s="147">
        <v>74</v>
      </c>
      <c r="AX32" s="147">
        <v>90</v>
      </c>
      <c r="AY32" s="147">
        <v>75</v>
      </c>
      <c r="AZ32" s="147">
        <v>83</v>
      </c>
      <c r="BA32" s="101" t="s">
        <v>34</v>
      </c>
      <c r="BB32" s="72">
        <f t="shared" ref="BB32" si="10">SUM(AJ32:BA32)</f>
        <v>954</v>
      </c>
      <c r="BC32" s="117">
        <f t="shared" ref="BC32" si="11">SUM(AI32+BB32)</f>
        <v>2072</v>
      </c>
      <c r="BD32" s="75"/>
      <c r="BE32" s="75"/>
    </row>
    <row r="33" spans="1:57" x14ac:dyDescent="0.25">
      <c r="A33" s="30" t="s">
        <v>140</v>
      </c>
      <c r="B33" s="274" t="s">
        <v>601</v>
      </c>
      <c r="C33" s="207" t="s">
        <v>952</v>
      </c>
      <c r="D33" s="151"/>
      <c r="E33" s="312"/>
      <c r="F33" s="115"/>
      <c r="G33" s="101"/>
      <c r="H33" s="115">
        <v>1</v>
      </c>
      <c r="I33" s="117"/>
      <c r="J33" s="151"/>
      <c r="K33" s="101"/>
      <c r="L33" s="72">
        <v>8</v>
      </c>
      <c r="M33" s="151">
        <v>4</v>
      </c>
      <c r="N33" s="101">
        <v>0</v>
      </c>
      <c r="O33" s="151">
        <v>7</v>
      </c>
      <c r="P33" s="101">
        <v>0</v>
      </c>
      <c r="Q33" s="151">
        <v>58</v>
      </c>
      <c r="R33" s="147">
        <v>65</v>
      </c>
      <c r="S33" s="147">
        <v>90</v>
      </c>
      <c r="T33" s="147">
        <v>73</v>
      </c>
      <c r="U33" s="198">
        <v>4</v>
      </c>
      <c r="V33" s="198">
        <v>0</v>
      </c>
      <c r="W33" s="147" t="s">
        <v>34</v>
      </c>
      <c r="X33" s="147" t="s">
        <v>34</v>
      </c>
      <c r="Y33" s="198">
        <v>20</v>
      </c>
      <c r="Z33" s="198">
        <v>5</v>
      </c>
      <c r="AA33" s="198">
        <v>0</v>
      </c>
      <c r="AB33" s="147" t="s">
        <v>34</v>
      </c>
      <c r="AC33" s="147" t="s">
        <v>34</v>
      </c>
      <c r="AD33" s="147" t="s">
        <v>34</v>
      </c>
      <c r="AE33" s="198">
        <v>0</v>
      </c>
      <c r="AF33" s="198">
        <v>17</v>
      </c>
      <c r="AG33" s="147" t="s">
        <v>34</v>
      </c>
      <c r="AH33" s="101" t="s">
        <v>34</v>
      </c>
      <c r="AI33" s="117">
        <f t="shared" ref="AI33" si="12">SUM(Q33:AH33)</f>
        <v>332</v>
      </c>
      <c r="AJ33" s="51" t="s">
        <v>34</v>
      </c>
      <c r="AK33" s="147" t="s">
        <v>34</v>
      </c>
      <c r="AL33" s="147" t="s">
        <v>34</v>
      </c>
      <c r="AM33" s="147" t="s">
        <v>34</v>
      </c>
      <c r="AN33" s="147" t="s">
        <v>34</v>
      </c>
      <c r="AO33" s="147" t="s">
        <v>34</v>
      </c>
      <c r="AP33" s="147" t="s">
        <v>34</v>
      </c>
      <c r="AQ33" s="147" t="s">
        <v>34</v>
      </c>
      <c r="AR33" s="147" t="s">
        <v>34</v>
      </c>
      <c r="AS33" s="147" t="s">
        <v>34</v>
      </c>
      <c r="AT33" s="147" t="s">
        <v>34</v>
      </c>
      <c r="AU33" s="147" t="s">
        <v>34</v>
      </c>
      <c r="AV33" s="147" t="s">
        <v>34</v>
      </c>
      <c r="AW33" s="147" t="s">
        <v>34</v>
      </c>
      <c r="AX33" s="147" t="s">
        <v>34</v>
      </c>
      <c r="AY33" s="147" t="s">
        <v>34</v>
      </c>
      <c r="AZ33" s="147" t="s">
        <v>34</v>
      </c>
      <c r="BA33" s="101" t="s">
        <v>34</v>
      </c>
      <c r="BB33" s="72">
        <f t="shared" ref="BB33" si="13">SUM(AJ33:BA33)</f>
        <v>0</v>
      </c>
      <c r="BC33" s="117">
        <f t="shared" ref="BC33" si="14">SUM(AI33+BB33)</f>
        <v>332</v>
      </c>
      <c r="BD33" s="75"/>
      <c r="BE33" s="75"/>
    </row>
    <row r="34" spans="1:57" x14ac:dyDescent="0.25">
      <c r="A34" s="30" t="s">
        <v>140</v>
      </c>
      <c r="B34" s="274" t="s">
        <v>602</v>
      </c>
      <c r="C34" s="275" t="s">
        <v>606</v>
      </c>
      <c r="D34" s="151">
        <v>1</v>
      </c>
      <c r="E34" s="312">
        <v>2</v>
      </c>
      <c r="F34" s="115"/>
      <c r="G34" s="101"/>
      <c r="H34" s="115">
        <v>3</v>
      </c>
      <c r="I34" s="117">
        <v>3</v>
      </c>
      <c r="J34" s="151"/>
      <c r="K34" s="101"/>
      <c r="L34" s="72">
        <v>27</v>
      </c>
      <c r="M34" s="151">
        <v>8</v>
      </c>
      <c r="N34" s="101">
        <v>2</v>
      </c>
      <c r="O34" s="151">
        <v>8</v>
      </c>
      <c r="P34" s="101">
        <v>10</v>
      </c>
      <c r="Q34" s="151">
        <v>83</v>
      </c>
      <c r="R34" s="147">
        <v>90</v>
      </c>
      <c r="S34" s="147" t="s">
        <v>34</v>
      </c>
      <c r="T34" s="147" t="s">
        <v>34</v>
      </c>
      <c r="U34" s="147">
        <v>73</v>
      </c>
      <c r="V34" s="147">
        <v>81</v>
      </c>
      <c r="W34" s="147">
        <v>67</v>
      </c>
      <c r="X34" s="147">
        <v>62</v>
      </c>
      <c r="Y34" s="198">
        <v>7</v>
      </c>
      <c r="Z34" s="198">
        <v>36</v>
      </c>
      <c r="AA34" s="198">
        <v>1</v>
      </c>
      <c r="AB34" s="198">
        <v>5</v>
      </c>
      <c r="AC34" s="198">
        <v>0</v>
      </c>
      <c r="AD34" s="198">
        <v>30</v>
      </c>
      <c r="AE34" s="198">
        <v>27</v>
      </c>
      <c r="AF34" s="198">
        <v>17</v>
      </c>
      <c r="AG34" s="147">
        <v>81</v>
      </c>
      <c r="AH34" s="101">
        <v>90</v>
      </c>
      <c r="AI34" s="117">
        <f t="shared" si="3"/>
        <v>750</v>
      </c>
      <c r="AJ34" s="195">
        <v>36</v>
      </c>
      <c r="AK34" s="147" t="s">
        <v>34</v>
      </c>
      <c r="AL34" s="198">
        <v>19</v>
      </c>
      <c r="AM34" s="147" t="s">
        <v>34</v>
      </c>
      <c r="AN34" s="147" t="s">
        <v>34</v>
      </c>
      <c r="AO34" s="147">
        <v>74</v>
      </c>
      <c r="AP34" s="198">
        <v>12</v>
      </c>
      <c r="AQ34" s="198">
        <v>1</v>
      </c>
      <c r="AR34" s="147" t="s">
        <v>34</v>
      </c>
      <c r="AS34" s="198">
        <v>15</v>
      </c>
      <c r="AT34" s="147" t="s">
        <v>34</v>
      </c>
      <c r="AU34" s="147">
        <v>65</v>
      </c>
      <c r="AV34" s="198">
        <v>9</v>
      </c>
      <c r="AW34" s="198">
        <v>16</v>
      </c>
      <c r="AX34" s="198">
        <v>31</v>
      </c>
      <c r="AY34" s="198">
        <v>15</v>
      </c>
      <c r="AZ34" s="198">
        <v>7</v>
      </c>
      <c r="BA34" s="101" t="s">
        <v>34</v>
      </c>
      <c r="BB34" s="72">
        <f t="shared" si="1"/>
        <v>300</v>
      </c>
      <c r="BC34" s="117">
        <f t="shared" si="2"/>
        <v>1050</v>
      </c>
      <c r="BD34" s="75"/>
      <c r="BE34" s="75"/>
    </row>
    <row r="35" spans="1:57" x14ac:dyDescent="0.25">
      <c r="A35" s="30" t="s">
        <v>140</v>
      </c>
      <c r="B35" s="274" t="s">
        <v>615</v>
      </c>
      <c r="C35" s="275" t="s">
        <v>616</v>
      </c>
      <c r="D35" s="151"/>
      <c r="E35" s="312"/>
      <c r="F35" s="115"/>
      <c r="G35" s="101"/>
      <c r="H35" s="115"/>
      <c r="I35" s="117"/>
      <c r="J35" s="151"/>
      <c r="K35" s="101"/>
      <c r="L35" s="72">
        <v>1</v>
      </c>
      <c r="M35" s="151">
        <v>0</v>
      </c>
      <c r="N35" s="101">
        <v>0</v>
      </c>
      <c r="O35" s="151">
        <v>0</v>
      </c>
      <c r="P35" s="101">
        <v>1</v>
      </c>
      <c r="Q35" s="151" t="s">
        <v>34</v>
      </c>
      <c r="R35" s="147" t="s">
        <v>34</v>
      </c>
      <c r="S35" s="147" t="s">
        <v>34</v>
      </c>
      <c r="T35" s="147" t="s">
        <v>34</v>
      </c>
      <c r="U35" s="147" t="s">
        <v>34</v>
      </c>
      <c r="V35" s="147" t="s">
        <v>34</v>
      </c>
      <c r="W35" s="147" t="s">
        <v>34</v>
      </c>
      <c r="X35" s="147" t="s">
        <v>34</v>
      </c>
      <c r="Y35" s="147" t="s">
        <v>34</v>
      </c>
      <c r="Z35" s="147" t="s">
        <v>34</v>
      </c>
      <c r="AA35" s="147" t="s">
        <v>34</v>
      </c>
      <c r="AB35" s="147" t="s">
        <v>34</v>
      </c>
      <c r="AC35" s="147" t="s">
        <v>34</v>
      </c>
      <c r="AD35" s="147" t="s">
        <v>34</v>
      </c>
      <c r="AE35" s="147" t="s">
        <v>34</v>
      </c>
      <c r="AF35" s="147" t="s">
        <v>34</v>
      </c>
      <c r="AG35" s="147" t="s">
        <v>34</v>
      </c>
      <c r="AH35" s="101" t="s">
        <v>34</v>
      </c>
      <c r="AI35" s="117">
        <f t="shared" ref="AI35" si="15">SUM(Q35:AH35)</f>
        <v>0</v>
      </c>
      <c r="AJ35" s="51" t="s">
        <v>34</v>
      </c>
      <c r="AK35" s="147" t="s">
        <v>34</v>
      </c>
      <c r="AL35" s="147" t="s">
        <v>34</v>
      </c>
      <c r="AM35" s="147" t="s">
        <v>34</v>
      </c>
      <c r="AN35" s="147" t="s">
        <v>34</v>
      </c>
      <c r="AO35" s="147" t="s">
        <v>34</v>
      </c>
      <c r="AP35" s="147" t="s">
        <v>34</v>
      </c>
      <c r="AQ35" s="147" t="s">
        <v>34</v>
      </c>
      <c r="AR35" s="147" t="s">
        <v>34</v>
      </c>
      <c r="AS35" s="147" t="s">
        <v>34</v>
      </c>
      <c r="AT35" s="147" t="s">
        <v>34</v>
      </c>
      <c r="AU35" s="147" t="s">
        <v>34</v>
      </c>
      <c r="AV35" s="147" t="s">
        <v>34</v>
      </c>
      <c r="AW35" s="147" t="s">
        <v>34</v>
      </c>
      <c r="AX35" s="147" t="s">
        <v>34</v>
      </c>
      <c r="AY35" s="147" t="s">
        <v>34</v>
      </c>
      <c r="AZ35" s="147" t="s">
        <v>34</v>
      </c>
      <c r="BA35" s="289">
        <v>7</v>
      </c>
      <c r="BB35" s="72">
        <f t="shared" ref="BB35" si="16">SUM(AJ35:BA35)</f>
        <v>7</v>
      </c>
      <c r="BC35" s="117">
        <f t="shared" ref="BC35" si="17">SUM(AI35+BB35)</f>
        <v>7</v>
      </c>
      <c r="BD35" s="75"/>
      <c r="BE35" s="75"/>
    </row>
    <row r="36" spans="1:57" x14ac:dyDescent="0.25">
      <c r="A36" s="30" t="s">
        <v>140</v>
      </c>
      <c r="B36" s="274" t="s">
        <v>589</v>
      </c>
      <c r="C36" s="275" t="s">
        <v>614</v>
      </c>
      <c r="D36" s="151"/>
      <c r="E36" s="312">
        <v>2</v>
      </c>
      <c r="F36" s="115"/>
      <c r="G36" s="101"/>
      <c r="H36" s="115"/>
      <c r="I36" s="117"/>
      <c r="J36" s="151"/>
      <c r="K36" s="101"/>
      <c r="L36" s="72">
        <v>12</v>
      </c>
      <c r="M36" s="151">
        <v>0</v>
      </c>
      <c r="N36" s="101">
        <v>11</v>
      </c>
      <c r="O36" s="151">
        <v>0</v>
      </c>
      <c r="P36" s="101">
        <v>4</v>
      </c>
      <c r="Q36" s="151" t="s">
        <v>34</v>
      </c>
      <c r="R36" s="147" t="s">
        <v>34</v>
      </c>
      <c r="S36" s="147" t="s">
        <v>34</v>
      </c>
      <c r="T36" s="147" t="s">
        <v>34</v>
      </c>
      <c r="U36" s="147" t="s">
        <v>34</v>
      </c>
      <c r="V36" s="147" t="s">
        <v>34</v>
      </c>
      <c r="W36" s="147" t="s">
        <v>34</v>
      </c>
      <c r="X36" s="147" t="s">
        <v>34</v>
      </c>
      <c r="Y36" s="147" t="s">
        <v>34</v>
      </c>
      <c r="Z36" s="147" t="s">
        <v>34</v>
      </c>
      <c r="AA36" s="147" t="s">
        <v>34</v>
      </c>
      <c r="AB36" s="147" t="s">
        <v>34</v>
      </c>
      <c r="AC36" s="147" t="s">
        <v>34</v>
      </c>
      <c r="AD36" s="147" t="s">
        <v>34</v>
      </c>
      <c r="AE36" s="147" t="s">
        <v>34</v>
      </c>
      <c r="AF36" s="147" t="s">
        <v>34</v>
      </c>
      <c r="AG36" s="147" t="s">
        <v>34</v>
      </c>
      <c r="AH36" s="101" t="s">
        <v>34</v>
      </c>
      <c r="AI36" s="117">
        <f t="shared" si="3"/>
        <v>0</v>
      </c>
      <c r="AJ36" s="51" t="s">
        <v>34</v>
      </c>
      <c r="AK36" s="198">
        <v>0</v>
      </c>
      <c r="AL36" s="147" t="s">
        <v>34</v>
      </c>
      <c r="AM36" s="198">
        <v>0</v>
      </c>
      <c r="AN36" s="147">
        <v>85</v>
      </c>
      <c r="AO36" s="147">
        <v>90</v>
      </c>
      <c r="AP36" s="147">
        <v>90</v>
      </c>
      <c r="AQ36" s="147">
        <v>86</v>
      </c>
      <c r="AR36" s="147">
        <v>69</v>
      </c>
      <c r="AS36" s="147">
        <v>75</v>
      </c>
      <c r="AT36" s="198">
        <v>10</v>
      </c>
      <c r="AU36" s="147" t="s">
        <v>34</v>
      </c>
      <c r="AV36" s="198">
        <v>0</v>
      </c>
      <c r="AW36" s="147">
        <v>74</v>
      </c>
      <c r="AX36" s="147">
        <v>45</v>
      </c>
      <c r="AY36" s="147">
        <v>71</v>
      </c>
      <c r="AZ36" s="147">
        <v>76</v>
      </c>
      <c r="BA36" s="101">
        <v>83</v>
      </c>
      <c r="BB36" s="72">
        <f t="shared" si="1"/>
        <v>854</v>
      </c>
      <c r="BC36" s="117">
        <f t="shared" si="2"/>
        <v>854</v>
      </c>
      <c r="BD36" s="75"/>
      <c r="BE36" s="75"/>
    </row>
    <row r="37" spans="1:57" x14ac:dyDescent="0.25">
      <c r="A37" s="30" t="s">
        <v>140</v>
      </c>
      <c r="B37" s="269" t="s">
        <v>491</v>
      </c>
      <c r="C37" s="207" t="s">
        <v>957</v>
      </c>
      <c r="D37" s="151">
        <v>4</v>
      </c>
      <c r="E37" s="312">
        <v>2</v>
      </c>
      <c r="F37" s="115"/>
      <c r="G37" s="101"/>
      <c r="H37" s="115">
        <v>4</v>
      </c>
      <c r="I37" s="117">
        <v>3</v>
      </c>
      <c r="J37" s="151"/>
      <c r="K37" s="101"/>
      <c r="L37" s="72">
        <v>31</v>
      </c>
      <c r="M37" s="151">
        <v>12</v>
      </c>
      <c r="N37" s="101">
        <v>17</v>
      </c>
      <c r="O37" s="151">
        <v>2</v>
      </c>
      <c r="P37" s="101">
        <v>0</v>
      </c>
      <c r="Q37" s="151" t="s">
        <v>34</v>
      </c>
      <c r="R37" s="147" t="s">
        <v>34</v>
      </c>
      <c r="S37" s="147" t="s">
        <v>34</v>
      </c>
      <c r="T37" s="198">
        <v>45</v>
      </c>
      <c r="U37" s="147">
        <v>86</v>
      </c>
      <c r="V37" s="147">
        <v>90</v>
      </c>
      <c r="W37" s="147">
        <v>90</v>
      </c>
      <c r="X37" s="147">
        <v>90</v>
      </c>
      <c r="Y37" s="147">
        <v>90</v>
      </c>
      <c r="Z37" s="147">
        <v>90</v>
      </c>
      <c r="AA37" s="147">
        <v>89</v>
      </c>
      <c r="AB37" s="147">
        <v>90</v>
      </c>
      <c r="AC37" s="147">
        <v>90</v>
      </c>
      <c r="AD37" s="147">
        <v>60</v>
      </c>
      <c r="AE37" s="147">
        <v>63</v>
      </c>
      <c r="AF37" s="147">
        <v>73</v>
      </c>
      <c r="AG37" s="147" t="s">
        <v>34</v>
      </c>
      <c r="AH37" s="289">
        <v>27</v>
      </c>
      <c r="AI37" s="117">
        <f t="shared" si="3"/>
        <v>1073</v>
      </c>
      <c r="AJ37" s="51">
        <v>90</v>
      </c>
      <c r="AK37" s="147">
        <v>90</v>
      </c>
      <c r="AL37" s="147">
        <v>71</v>
      </c>
      <c r="AM37" s="147">
        <v>77</v>
      </c>
      <c r="AN37" s="147">
        <v>78</v>
      </c>
      <c r="AO37" s="147" t="s">
        <v>34</v>
      </c>
      <c r="AP37" s="147">
        <v>90</v>
      </c>
      <c r="AQ37" s="147">
        <v>82</v>
      </c>
      <c r="AR37" s="147">
        <v>90</v>
      </c>
      <c r="AS37" s="147">
        <v>75</v>
      </c>
      <c r="AT37" s="147">
        <v>67</v>
      </c>
      <c r="AU37" s="147">
        <v>79</v>
      </c>
      <c r="AV37" s="147">
        <v>90</v>
      </c>
      <c r="AW37" s="147">
        <v>74</v>
      </c>
      <c r="AX37" s="147">
        <v>59</v>
      </c>
      <c r="AY37" s="147">
        <v>71</v>
      </c>
      <c r="AZ37" s="147">
        <v>90</v>
      </c>
      <c r="BA37" s="101">
        <v>90</v>
      </c>
      <c r="BB37" s="72">
        <f t="shared" si="1"/>
        <v>1363</v>
      </c>
      <c r="BC37" s="117">
        <f t="shared" si="2"/>
        <v>2436</v>
      </c>
      <c r="BD37" s="75"/>
      <c r="BE37" s="75"/>
    </row>
    <row r="38" spans="1:57" ht="15.75" thickBot="1" x14ac:dyDescent="0.3">
      <c r="A38" s="31" t="s">
        <v>140</v>
      </c>
      <c r="B38" s="283" t="s">
        <v>590</v>
      </c>
      <c r="C38" s="284" t="s">
        <v>607</v>
      </c>
      <c r="D38" s="151"/>
      <c r="E38" s="101"/>
      <c r="F38" s="115"/>
      <c r="G38" s="101"/>
      <c r="H38" s="123"/>
      <c r="I38" s="117"/>
      <c r="J38" s="151"/>
      <c r="K38" s="101"/>
      <c r="L38" s="72">
        <v>5</v>
      </c>
      <c r="M38" s="151">
        <v>0</v>
      </c>
      <c r="N38" s="101">
        <v>1</v>
      </c>
      <c r="O38" s="151">
        <v>2</v>
      </c>
      <c r="P38" s="101">
        <v>2</v>
      </c>
      <c r="Q38" s="151" t="s">
        <v>34</v>
      </c>
      <c r="R38" s="147" t="s">
        <v>34</v>
      </c>
      <c r="S38" s="147" t="s">
        <v>34</v>
      </c>
      <c r="T38" s="147" t="s">
        <v>34</v>
      </c>
      <c r="U38" s="147" t="s">
        <v>34</v>
      </c>
      <c r="V38" s="147" t="s">
        <v>34</v>
      </c>
      <c r="W38" s="198">
        <v>9</v>
      </c>
      <c r="X38" s="198">
        <v>8</v>
      </c>
      <c r="Y38" s="147" t="s">
        <v>34</v>
      </c>
      <c r="Z38" s="147" t="s">
        <v>34</v>
      </c>
      <c r="AA38" s="147" t="s">
        <v>34</v>
      </c>
      <c r="AB38" s="147" t="s">
        <v>34</v>
      </c>
      <c r="AC38" s="147" t="s">
        <v>34</v>
      </c>
      <c r="AD38" s="147" t="s">
        <v>34</v>
      </c>
      <c r="AE38" s="147" t="s">
        <v>34</v>
      </c>
      <c r="AF38" s="147" t="s">
        <v>34</v>
      </c>
      <c r="AG38" s="147" t="s">
        <v>34</v>
      </c>
      <c r="AH38" s="101" t="s">
        <v>34</v>
      </c>
      <c r="AI38" s="117">
        <f t="shared" si="3"/>
        <v>17</v>
      </c>
      <c r="AJ38" s="51" t="s">
        <v>34</v>
      </c>
      <c r="AK38" s="147" t="s">
        <v>34</v>
      </c>
      <c r="AL38" s="147" t="s">
        <v>34</v>
      </c>
      <c r="AM38" s="198">
        <v>13</v>
      </c>
      <c r="AN38" s="198">
        <v>12</v>
      </c>
      <c r="AO38" s="147">
        <v>80</v>
      </c>
      <c r="AP38" s="147" t="s">
        <v>34</v>
      </c>
      <c r="AQ38" s="147" t="s">
        <v>34</v>
      </c>
      <c r="AR38" s="147" t="s">
        <v>34</v>
      </c>
      <c r="AS38" s="147" t="s">
        <v>34</v>
      </c>
      <c r="AT38" s="147" t="s">
        <v>34</v>
      </c>
      <c r="AU38" s="147" t="s">
        <v>34</v>
      </c>
      <c r="AV38" s="147" t="s">
        <v>34</v>
      </c>
      <c r="AW38" s="147" t="s">
        <v>34</v>
      </c>
      <c r="AX38" s="147" t="s">
        <v>34</v>
      </c>
      <c r="AY38" s="147" t="s">
        <v>34</v>
      </c>
      <c r="AZ38" s="147" t="s">
        <v>34</v>
      </c>
      <c r="BA38" s="101" t="s">
        <v>34</v>
      </c>
      <c r="BB38" s="72">
        <f t="shared" si="1"/>
        <v>105</v>
      </c>
      <c r="BC38" s="117">
        <f t="shared" si="2"/>
        <v>122</v>
      </c>
      <c r="BD38" s="75"/>
      <c r="BE38" s="75"/>
    </row>
    <row r="39" spans="1:57" x14ac:dyDescent="0.25">
      <c r="A39" s="75"/>
      <c r="B39" s="295"/>
      <c r="C39" s="296" t="s">
        <v>35</v>
      </c>
      <c r="D39" s="403">
        <v>1</v>
      </c>
      <c r="E39" s="404"/>
      <c r="F39" s="395" t="s">
        <v>171</v>
      </c>
      <c r="G39" s="392"/>
      <c r="H39" s="395" t="s">
        <v>171</v>
      </c>
      <c r="I39" s="392"/>
      <c r="J39" s="395" t="s">
        <v>171</v>
      </c>
      <c r="K39" s="392"/>
      <c r="L39" s="298" t="s">
        <v>364</v>
      </c>
      <c r="M39" s="395" t="s">
        <v>171</v>
      </c>
      <c r="N39" s="402"/>
      <c r="O39" s="395" t="s">
        <v>171</v>
      </c>
      <c r="P39" s="392"/>
      <c r="Q39" s="299" t="s">
        <v>171</v>
      </c>
      <c r="R39" s="299" t="s">
        <v>171</v>
      </c>
      <c r="S39" s="299" t="s">
        <v>171</v>
      </c>
      <c r="T39" s="299" t="s">
        <v>171</v>
      </c>
      <c r="U39" s="299" t="s">
        <v>171</v>
      </c>
      <c r="V39" s="299" t="s">
        <v>171</v>
      </c>
      <c r="W39" s="299" t="s">
        <v>171</v>
      </c>
      <c r="X39" s="299" t="s">
        <v>171</v>
      </c>
      <c r="Y39" s="299" t="s">
        <v>171</v>
      </c>
      <c r="Z39" s="299" t="s">
        <v>171</v>
      </c>
      <c r="AA39" s="299" t="s">
        <v>171</v>
      </c>
      <c r="AB39" s="299" t="s">
        <v>171</v>
      </c>
      <c r="AC39" s="299" t="s">
        <v>171</v>
      </c>
      <c r="AD39" s="299" t="s">
        <v>171</v>
      </c>
      <c r="AE39" s="299" t="s">
        <v>171</v>
      </c>
      <c r="AF39" s="299" t="s">
        <v>171</v>
      </c>
      <c r="AG39" s="299" t="s">
        <v>171</v>
      </c>
      <c r="AH39" s="299" t="s">
        <v>171</v>
      </c>
      <c r="AI39" s="299" t="s">
        <v>171</v>
      </c>
      <c r="AJ39" s="299" t="s">
        <v>171</v>
      </c>
      <c r="AK39" s="299" t="s">
        <v>171</v>
      </c>
      <c r="AL39" s="299" t="s">
        <v>171</v>
      </c>
      <c r="AM39" s="299" t="s">
        <v>171</v>
      </c>
      <c r="AN39" s="299" t="s">
        <v>171</v>
      </c>
      <c r="AO39" s="299" t="s">
        <v>171</v>
      </c>
      <c r="AP39" s="299" t="s">
        <v>171</v>
      </c>
      <c r="AQ39" s="299" t="s">
        <v>171</v>
      </c>
      <c r="AR39" s="299" t="s">
        <v>171</v>
      </c>
      <c r="AS39" s="299" t="s">
        <v>171</v>
      </c>
      <c r="AT39" s="299" t="s">
        <v>171</v>
      </c>
      <c r="AU39" s="299" t="s">
        <v>171</v>
      </c>
      <c r="AV39" s="299" t="s">
        <v>171</v>
      </c>
      <c r="AW39" s="299" t="s">
        <v>171</v>
      </c>
      <c r="AX39" s="299" t="s">
        <v>171</v>
      </c>
      <c r="AY39" s="299" t="s">
        <v>171</v>
      </c>
      <c r="AZ39" s="299" t="s">
        <v>171</v>
      </c>
      <c r="BA39" s="299" t="s">
        <v>171</v>
      </c>
      <c r="BB39" s="299" t="s">
        <v>171</v>
      </c>
      <c r="BC39" s="299" t="s">
        <v>171</v>
      </c>
      <c r="BD39" s="75"/>
      <c r="BE39" s="75"/>
    </row>
    <row r="40" spans="1:57" ht="15.75" thickBot="1" x14ac:dyDescent="0.3">
      <c r="A40" s="75"/>
      <c r="B40" s="295"/>
      <c r="C40" s="300" t="s">
        <v>172</v>
      </c>
      <c r="D40" s="212">
        <f>SUM(D9:D38)</f>
        <v>15</v>
      </c>
      <c r="E40" s="124">
        <v>13</v>
      </c>
      <c r="F40" s="123">
        <f t="shared" ref="F40:K40" si="18">SUM(F4:F38)</f>
        <v>0</v>
      </c>
      <c r="G40" s="122">
        <f t="shared" si="18"/>
        <v>0</v>
      </c>
      <c r="H40" s="123">
        <f t="shared" si="18"/>
        <v>36</v>
      </c>
      <c r="I40" s="124">
        <f t="shared" si="18"/>
        <v>48</v>
      </c>
      <c r="J40" s="123">
        <f t="shared" si="18"/>
        <v>5</v>
      </c>
      <c r="K40" s="122">
        <f t="shared" si="18"/>
        <v>2</v>
      </c>
      <c r="L40" s="301" t="s">
        <v>364</v>
      </c>
      <c r="M40" s="399" t="s">
        <v>171</v>
      </c>
      <c r="N40" s="400"/>
      <c r="O40" s="399" t="s">
        <v>171</v>
      </c>
      <c r="P40" s="401"/>
      <c r="Q40" s="301" t="s">
        <v>171</v>
      </c>
      <c r="R40" s="301" t="s">
        <v>171</v>
      </c>
      <c r="S40" s="301" t="s">
        <v>171</v>
      </c>
      <c r="T40" s="301" t="s">
        <v>171</v>
      </c>
      <c r="U40" s="301" t="s">
        <v>171</v>
      </c>
      <c r="V40" s="301" t="s">
        <v>171</v>
      </c>
      <c r="W40" s="301" t="s">
        <v>171</v>
      </c>
      <c r="X40" s="301" t="s">
        <v>171</v>
      </c>
      <c r="Y40" s="301" t="s">
        <v>171</v>
      </c>
      <c r="Z40" s="301" t="s">
        <v>171</v>
      </c>
      <c r="AA40" s="301" t="s">
        <v>171</v>
      </c>
      <c r="AB40" s="301" t="s">
        <v>171</v>
      </c>
      <c r="AC40" s="301" t="s">
        <v>171</v>
      </c>
      <c r="AD40" s="301" t="s">
        <v>171</v>
      </c>
      <c r="AE40" s="301" t="s">
        <v>171</v>
      </c>
      <c r="AF40" s="301" t="s">
        <v>171</v>
      </c>
      <c r="AG40" s="301" t="s">
        <v>171</v>
      </c>
      <c r="AH40" s="301" t="s">
        <v>171</v>
      </c>
      <c r="AI40" s="301" t="s">
        <v>171</v>
      </c>
      <c r="AJ40" s="301" t="s">
        <v>171</v>
      </c>
      <c r="AK40" s="301" t="s">
        <v>171</v>
      </c>
      <c r="AL40" s="301" t="s">
        <v>171</v>
      </c>
      <c r="AM40" s="301" t="s">
        <v>171</v>
      </c>
      <c r="AN40" s="301" t="s">
        <v>171</v>
      </c>
      <c r="AO40" s="301" t="s">
        <v>171</v>
      </c>
      <c r="AP40" s="301" t="s">
        <v>171</v>
      </c>
      <c r="AQ40" s="301" t="s">
        <v>171</v>
      </c>
      <c r="AR40" s="301" t="s">
        <v>171</v>
      </c>
      <c r="AS40" s="301" t="s">
        <v>171</v>
      </c>
      <c r="AT40" s="301" t="s">
        <v>171</v>
      </c>
      <c r="AU40" s="301" t="s">
        <v>171</v>
      </c>
      <c r="AV40" s="301" t="s">
        <v>171</v>
      </c>
      <c r="AW40" s="301" t="s">
        <v>171</v>
      </c>
      <c r="AX40" s="301" t="s">
        <v>171</v>
      </c>
      <c r="AY40" s="301" t="s">
        <v>171</v>
      </c>
      <c r="AZ40" s="301" t="s">
        <v>171</v>
      </c>
      <c r="BA40" s="301" t="s">
        <v>171</v>
      </c>
      <c r="BB40" s="301" t="s">
        <v>171</v>
      </c>
      <c r="BC40" s="301" t="s">
        <v>171</v>
      </c>
      <c r="BD40" s="75"/>
      <c r="BE40" s="75"/>
    </row>
    <row r="41" spans="1:57" ht="15.75" thickBot="1" x14ac:dyDescent="0.3">
      <c r="A41" s="75"/>
      <c r="B41" s="295"/>
      <c r="C41" s="303" t="s">
        <v>173</v>
      </c>
      <c r="D41" s="393">
        <f>D40+E40</f>
        <v>28</v>
      </c>
      <c r="E41" s="394"/>
      <c r="F41" s="393">
        <f>F40+G40</f>
        <v>0</v>
      </c>
      <c r="G41" s="394"/>
      <c r="H41" s="393">
        <f>H40+I40</f>
        <v>84</v>
      </c>
      <c r="I41" s="394"/>
      <c r="J41" s="393">
        <f>J40+K40</f>
        <v>7</v>
      </c>
      <c r="K41" s="394"/>
      <c r="L41" s="305" t="s">
        <v>364</v>
      </c>
      <c r="M41" s="396" t="s">
        <v>171</v>
      </c>
      <c r="N41" s="397"/>
      <c r="O41" s="396" t="s">
        <v>171</v>
      </c>
      <c r="P41" s="398"/>
      <c r="Q41" s="305" t="s">
        <v>171</v>
      </c>
      <c r="R41" s="305" t="s">
        <v>171</v>
      </c>
      <c r="S41" s="305" t="s">
        <v>171</v>
      </c>
      <c r="T41" s="305" t="s">
        <v>171</v>
      </c>
      <c r="U41" s="305" t="s">
        <v>171</v>
      </c>
      <c r="V41" s="305" t="s">
        <v>171</v>
      </c>
      <c r="W41" s="305" t="s">
        <v>171</v>
      </c>
      <c r="X41" s="305" t="s">
        <v>171</v>
      </c>
      <c r="Y41" s="305" t="s">
        <v>171</v>
      </c>
      <c r="Z41" s="305" t="s">
        <v>171</v>
      </c>
      <c r="AA41" s="305" t="s">
        <v>171</v>
      </c>
      <c r="AB41" s="305" t="s">
        <v>171</v>
      </c>
      <c r="AC41" s="305" t="s">
        <v>171</v>
      </c>
      <c r="AD41" s="305" t="s">
        <v>171</v>
      </c>
      <c r="AE41" s="305" t="s">
        <v>171</v>
      </c>
      <c r="AF41" s="305" t="s">
        <v>171</v>
      </c>
      <c r="AG41" s="305" t="s">
        <v>171</v>
      </c>
      <c r="AH41" s="305" t="s">
        <v>171</v>
      </c>
      <c r="AI41" s="305" t="s">
        <v>171</v>
      </c>
      <c r="AJ41" s="305" t="s">
        <v>171</v>
      </c>
      <c r="AK41" s="305" t="s">
        <v>171</v>
      </c>
      <c r="AL41" s="305" t="s">
        <v>171</v>
      </c>
      <c r="AM41" s="305" t="s">
        <v>171</v>
      </c>
      <c r="AN41" s="305" t="s">
        <v>171</v>
      </c>
      <c r="AO41" s="305" t="s">
        <v>171</v>
      </c>
      <c r="AP41" s="305" t="s">
        <v>171</v>
      </c>
      <c r="AQ41" s="305" t="s">
        <v>171</v>
      </c>
      <c r="AR41" s="305" t="s">
        <v>171</v>
      </c>
      <c r="AS41" s="305" t="s">
        <v>171</v>
      </c>
      <c r="AT41" s="305" t="s">
        <v>171</v>
      </c>
      <c r="AU41" s="305" t="s">
        <v>171</v>
      </c>
      <c r="AV41" s="305" t="s">
        <v>171</v>
      </c>
      <c r="AW41" s="305" t="s">
        <v>171</v>
      </c>
      <c r="AX41" s="305" t="s">
        <v>171</v>
      </c>
      <c r="AY41" s="305" t="s">
        <v>171</v>
      </c>
      <c r="AZ41" s="305" t="s">
        <v>171</v>
      </c>
      <c r="BA41" s="305" t="s">
        <v>171</v>
      </c>
      <c r="BB41" s="305" t="s">
        <v>171</v>
      </c>
      <c r="BC41" s="305" t="s">
        <v>171</v>
      </c>
      <c r="BD41" s="75"/>
      <c r="BE41" s="75"/>
    </row>
    <row r="42" spans="1:57" x14ac:dyDescent="0.25">
      <c r="A42" s="75"/>
      <c r="B42" s="75"/>
      <c r="C42" s="7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</row>
    <row r="43" spans="1:57" x14ac:dyDescent="0.25">
      <c r="A43" s="75"/>
      <c r="B43" s="75"/>
      <c r="C43" s="7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</row>
    <row r="44" spans="1:57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</row>
    <row r="45" spans="1:57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</row>
    <row r="46" spans="1:57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</row>
    <row r="47" spans="1:57" x14ac:dyDescent="0.25">
      <c r="A47" s="75"/>
      <c r="B47" s="75"/>
      <c r="C47" s="7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</row>
    <row r="48" spans="1:57" x14ac:dyDescent="0.25">
      <c r="A48" s="75"/>
      <c r="B48" s="75"/>
      <c r="C48" s="7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</row>
    <row r="49" spans="1:57" x14ac:dyDescent="0.25">
      <c r="A49" s="75"/>
      <c r="B49" s="75"/>
      <c r="C49" s="7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</row>
    <row r="50" spans="1:57" x14ac:dyDescent="0.25">
      <c r="A50" s="75"/>
      <c r="B50" s="75"/>
      <c r="C50" s="7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</row>
    <row r="51" spans="1:57" x14ac:dyDescent="0.25">
      <c r="A51" s="75"/>
      <c r="B51" s="75"/>
      <c r="C51" s="7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</row>
  </sheetData>
  <mergeCells count="65">
    <mergeCell ref="D39:E39"/>
    <mergeCell ref="F39:G39"/>
    <mergeCell ref="H39:I39"/>
    <mergeCell ref="O41:P41"/>
    <mergeCell ref="J39:K39"/>
    <mergeCell ref="M39:N39"/>
    <mergeCell ref="O39:P39"/>
    <mergeCell ref="M40:N40"/>
    <mergeCell ref="O40:P40"/>
    <mergeCell ref="D41:E41"/>
    <mergeCell ref="F41:G41"/>
    <mergeCell ref="H41:I41"/>
    <mergeCell ref="J41:K41"/>
    <mergeCell ref="M41:N41"/>
    <mergeCell ref="BB2:BB3"/>
    <mergeCell ref="BC2:BC3"/>
    <mergeCell ref="H3:I3"/>
    <mergeCell ref="AZ2:AZ3"/>
    <mergeCell ref="BA2:BA3"/>
    <mergeCell ref="AT2:AT3"/>
    <mergeCell ref="AU2:AU3"/>
    <mergeCell ref="AV2:AV3"/>
    <mergeCell ref="AW2:AW3"/>
    <mergeCell ref="AX2:AX3"/>
    <mergeCell ref="AY2:AY3"/>
    <mergeCell ref="AN2:AN3"/>
    <mergeCell ref="AO2:AO3"/>
    <mergeCell ref="AP2:AP3"/>
    <mergeCell ref="AQ2:AQ3"/>
    <mergeCell ref="AR2:AR3"/>
    <mergeCell ref="AS2:AS3"/>
    <mergeCell ref="AI2:AI3"/>
    <mergeCell ref="AJ2:AJ3"/>
    <mergeCell ref="AK2:AK3"/>
    <mergeCell ref="AL2:AL3"/>
    <mergeCell ref="AM2:AM3"/>
    <mergeCell ref="AH2:AH3"/>
    <mergeCell ref="AB2:AB3"/>
    <mergeCell ref="AC2:AC3"/>
    <mergeCell ref="AD2:AD3"/>
    <mergeCell ref="AE2:AE3"/>
    <mergeCell ref="AF2:AF3"/>
    <mergeCell ref="AG2:AG3"/>
    <mergeCell ref="AA2:AA3"/>
    <mergeCell ref="O2:P2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1:P1"/>
    <mergeCell ref="A2:A3"/>
    <mergeCell ref="B2:B3"/>
    <mergeCell ref="C2:C3"/>
    <mergeCell ref="D2:E2"/>
    <mergeCell ref="F2:G2"/>
    <mergeCell ref="H2:I2"/>
    <mergeCell ref="J2:K2"/>
    <mergeCell ref="L2:L3"/>
    <mergeCell ref="M2:N2"/>
  </mergeCells>
  <pageMargins left="0.7" right="0.7" top="0.75" bottom="0.75" header="0.3" footer="0.3"/>
  <pageSetup orientation="portrait" r:id="rId1"/>
  <ignoredErrors>
    <ignoredError sqref="AI29:AI30 AI24 AI21 AI14 AI27 AI4 D40 AI32" formulaRange="1"/>
    <ignoredError sqref="BB18 BB33:BB35 BB27" formula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52"/>
  <sheetViews>
    <sheetView zoomScaleNormal="100" workbookViewId="0">
      <pane xSplit="16" ySplit="3" topLeftCell="Q13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16" width="6.7109375" style="1" customWidth="1"/>
    <col min="17" max="17" width="19.140625" style="1" customWidth="1"/>
    <col min="18" max="18" width="16.28515625" style="1" customWidth="1"/>
    <col min="19" max="19" width="14.85546875" style="1" customWidth="1"/>
    <col min="20" max="20" width="17.7109375" style="1" customWidth="1"/>
    <col min="21" max="21" width="20" style="1" customWidth="1"/>
    <col min="22" max="24" width="18.28515625" style="1" customWidth="1"/>
    <col min="25" max="25" width="16.7109375" style="1" customWidth="1"/>
    <col min="26" max="26" width="18.7109375" style="1" customWidth="1"/>
    <col min="27" max="28" width="16.42578125" style="1" customWidth="1"/>
    <col min="29" max="29" width="19.5703125" style="1" customWidth="1"/>
    <col min="30" max="30" width="18.28515625" style="1" customWidth="1"/>
    <col min="31" max="31" width="17" style="1" customWidth="1"/>
    <col min="32" max="32" width="16.42578125" style="1" customWidth="1"/>
    <col min="33" max="33" width="18.85546875" style="1" customWidth="1"/>
    <col min="34" max="34" width="19.140625" style="1" customWidth="1"/>
    <col min="35" max="35" width="18.28515625" style="1" customWidth="1"/>
    <col min="36" max="36" width="19.140625" style="1" customWidth="1"/>
    <col min="37" max="37" width="17.85546875" customWidth="1"/>
    <col min="38" max="38" width="15.28515625" customWidth="1"/>
    <col min="39" max="39" width="17.85546875" customWidth="1"/>
    <col min="40" max="40" width="19.42578125" customWidth="1"/>
    <col min="41" max="43" width="17.85546875" customWidth="1"/>
    <col min="44" max="44" width="17" customWidth="1"/>
    <col min="45" max="45" width="19.42578125" customWidth="1"/>
    <col min="46" max="49" width="17.85546875" customWidth="1"/>
    <col min="50" max="50" width="16.85546875" customWidth="1"/>
    <col min="51" max="51" width="17.85546875" customWidth="1"/>
    <col min="52" max="52" width="18.42578125" customWidth="1"/>
    <col min="53" max="53" width="20.140625" customWidth="1"/>
    <col min="54" max="54" width="17" customWidth="1"/>
    <col min="55" max="55" width="14.5703125" customWidth="1"/>
  </cols>
  <sheetData>
    <row r="1" spans="1:64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6"/>
      <c r="Q1" s="12" t="s">
        <v>628</v>
      </c>
      <c r="R1" s="12" t="s">
        <v>629</v>
      </c>
      <c r="S1" s="12" t="s">
        <v>630</v>
      </c>
      <c r="T1" s="12" t="s">
        <v>631</v>
      </c>
      <c r="U1" s="12" t="s">
        <v>632</v>
      </c>
      <c r="V1" s="12" t="s">
        <v>633</v>
      </c>
      <c r="W1" s="12" t="s">
        <v>634</v>
      </c>
      <c r="X1" s="12" t="s">
        <v>635</v>
      </c>
      <c r="Y1" s="12" t="s">
        <v>636</v>
      </c>
      <c r="Z1" s="12" t="s">
        <v>637</v>
      </c>
      <c r="AA1" s="12" t="s">
        <v>638</v>
      </c>
      <c r="AB1" s="12" t="s">
        <v>639</v>
      </c>
      <c r="AC1" s="24" t="s">
        <v>640</v>
      </c>
      <c r="AD1" s="12" t="s">
        <v>641</v>
      </c>
      <c r="AE1" s="12" t="s">
        <v>642</v>
      </c>
      <c r="AF1" s="12" t="s">
        <v>643</v>
      </c>
      <c r="AG1" s="12" t="s">
        <v>702</v>
      </c>
      <c r="AH1" s="12" t="s">
        <v>644</v>
      </c>
      <c r="AI1" s="12" t="s">
        <v>627</v>
      </c>
      <c r="AJ1" s="12" t="s">
        <v>645</v>
      </c>
      <c r="AK1" s="12" t="s">
        <v>646</v>
      </c>
      <c r="AL1" s="12" t="s">
        <v>647</v>
      </c>
      <c r="AM1" s="12" t="s">
        <v>648</v>
      </c>
      <c r="AN1" s="12" t="s">
        <v>649</v>
      </c>
      <c r="AO1" s="12" t="s">
        <v>650</v>
      </c>
      <c r="AP1" s="12" t="s">
        <v>651</v>
      </c>
      <c r="AQ1" s="12" t="s">
        <v>700</v>
      </c>
      <c r="AR1" s="12" t="s">
        <v>652</v>
      </c>
      <c r="AS1" s="12" t="s">
        <v>703</v>
      </c>
      <c r="AT1" s="12" t="s">
        <v>653</v>
      </c>
      <c r="AU1" s="12" t="s">
        <v>654</v>
      </c>
      <c r="AV1" s="24" t="s">
        <v>655</v>
      </c>
      <c r="AW1" s="12" t="s">
        <v>656</v>
      </c>
      <c r="AX1" s="12" t="s">
        <v>657</v>
      </c>
      <c r="AY1" s="12" t="s">
        <v>658</v>
      </c>
      <c r="AZ1" s="12" t="s">
        <v>659</v>
      </c>
      <c r="BA1" s="12" t="s">
        <v>660</v>
      </c>
      <c r="BB1" s="12" t="s">
        <v>625</v>
      </c>
      <c r="BC1" s="12" t="s">
        <v>626</v>
      </c>
    </row>
    <row r="2" spans="1:64" s="1" customFormat="1" ht="15.75" thickBot="1" x14ac:dyDescent="0.3">
      <c r="A2" s="384" t="s">
        <v>137</v>
      </c>
      <c r="B2" s="384" t="s">
        <v>26</v>
      </c>
      <c r="C2" s="384" t="s">
        <v>25</v>
      </c>
      <c r="D2" s="389" t="s">
        <v>27</v>
      </c>
      <c r="E2" s="390"/>
      <c r="F2" s="389" t="s">
        <v>28</v>
      </c>
      <c r="G2" s="390"/>
      <c r="H2" s="387" t="s">
        <v>32</v>
      </c>
      <c r="I2" s="388"/>
      <c r="J2" s="387" t="s">
        <v>33</v>
      </c>
      <c r="K2" s="388"/>
      <c r="L2" s="384" t="s">
        <v>363</v>
      </c>
      <c r="M2" s="387" t="s">
        <v>29</v>
      </c>
      <c r="N2" s="388"/>
      <c r="O2" s="387" t="s">
        <v>30</v>
      </c>
      <c r="P2" s="388"/>
      <c r="Q2" s="384" t="s">
        <v>41</v>
      </c>
      <c r="R2" s="384" t="s">
        <v>41</v>
      </c>
      <c r="S2" s="384" t="s">
        <v>41</v>
      </c>
      <c r="T2" s="384" t="s">
        <v>41</v>
      </c>
      <c r="U2" s="384" t="s">
        <v>41</v>
      </c>
      <c r="V2" s="384" t="s">
        <v>41</v>
      </c>
      <c r="W2" s="384" t="s">
        <v>41</v>
      </c>
      <c r="X2" s="384" t="s">
        <v>41</v>
      </c>
      <c r="Y2" s="384" t="s">
        <v>41</v>
      </c>
      <c r="Z2" s="384" t="s">
        <v>41</v>
      </c>
      <c r="AA2" s="384" t="s">
        <v>41</v>
      </c>
      <c r="AB2" s="384" t="s">
        <v>41</v>
      </c>
      <c r="AC2" s="384" t="s">
        <v>41</v>
      </c>
      <c r="AD2" s="384" t="s">
        <v>41</v>
      </c>
      <c r="AE2" s="384" t="s">
        <v>41</v>
      </c>
      <c r="AF2" s="384" t="s">
        <v>41</v>
      </c>
      <c r="AG2" s="384" t="s">
        <v>41</v>
      </c>
      <c r="AH2" s="384" t="s">
        <v>41</v>
      </c>
      <c r="AI2" s="384" t="s">
        <v>41</v>
      </c>
      <c r="AJ2" s="384" t="s">
        <v>41</v>
      </c>
      <c r="AK2" s="384" t="s">
        <v>41</v>
      </c>
      <c r="AL2" s="384" t="s">
        <v>41</v>
      </c>
      <c r="AM2" s="384" t="s">
        <v>41</v>
      </c>
      <c r="AN2" s="384" t="s">
        <v>41</v>
      </c>
      <c r="AO2" s="384" t="s">
        <v>41</v>
      </c>
      <c r="AP2" s="384" t="s">
        <v>41</v>
      </c>
      <c r="AQ2" s="384" t="s">
        <v>41</v>
      </c>
      <c r="AR2" s="384" t="s">
        <v>41</v>
      </c>
      <c r="AS2" s="384" t="s">
        <v>41</v>
      </c>
      <c r="AT2" s="384" t="s">
        <v>41</v>
      </c>
      <c r="AU2" s="384" t="s">
        <v>41</v>
      </c>
      <c r="AV2" s="384" t="s">
        <v>41</v>
      </c>
      <c r="AW2" s="384" t="s">
        <v>41</v>
      </c>
      <c r="AX2" s="384" t="s">
        <v>41</v>
      </c>
      <c r="AY2" s="384" t="s">
        <v>41</v>
      </c>
      <c r="AZ2" s="384" t="s">
        <v>41</v>
      </c>
      <c r="BA2" s="384" t="s">
        <v>41</v>
      </c>
      <c r="BB2" s="384" t="s">
        <v>41</v>
      </c>
      <c r="BC2" s="384" t="s">
        <v>41</v>
      </c>
      <c r="BD2" s="14"/>
      <c r="BE2" s="14"/>
      <c r="BF2" s="14"/>
      <c r="BG2" s="14"/>
      <c r="BH2" s="14"/>
      <c r="BI2" s="14"/>
      <c r="BJ2" s="14"/>
      <c r="BK2" s="14"/>
      <c r="BL2" s="14"/>
    </row>
    <row r="3" spans="1:64" s="1" customFormat="1" ht="15.75" thickBot="1" x14ac:dyDescent="0.3">
      <c r="A3" s="385"/>
      <c r="B3" s="385"/>
      <c r="C3" s="385"/>
      <c r="D3" s="13" t="s">
        <v>169</v>
      </c>
      <c r="E3" s="13" t="s">
        <v>170</v>
      </c>
      <c r="F3" s="13" t="s">
        <v>169</v>
      </c>
      <c r="G3" s="13" t="s">
        <v>170</v>
      </c>
      <c r="H3" s="13" t="s">
        <v>169</v>
      </c>
      <c r="I3" s="13" t="s">
        <v>170</v>
      </c>
      <c r="J3" s="13" t="s">
        <v>169</v>
      </c>
      <c r="K3" s="13" t="s">
        <v>170</v>
      </c>
      <c r="L3" s="385"/>
      <c r="M3" s="13" t="s">
        <v>169</v>
      </c>
      <c r="N3" s="13" t="s">
        <v>170</v>
      </c>
      <c r="O3" s="13" t="s">
        <v>169</v>
      </c>
      <c r="P3" s="13" t="s">
        <v>170</v>
      </c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14"/>
      <c r="BE3" s="14"/>
      <c r="BF3" s="14"/>
      <c r="BG3" s="14"/>
      <c r="BH3" s="14"/>
      <c r="BI3" s="14"/>
      <c r="BJ3" s="14"/>
      <c r="BK3" s="14"/>
      <c r="BL3" s="14"/>
    </row>
    <row r="4" spans="1:64" s="1" customFormat="1" x14ac:dyDescent="0.25">
      <c r="A4" s="27" t="s">
        <v>138</v>
      </c>
      <c r="B4" s="107" t="s">
        <v>346</v>
      </c>
      <c r="C4" s="108" t="s">
        <v>612</v>
      </c>
      <c r="D4" s="106"/>
      <c r="E4" s="48"/>
      <c r="F4" s="106"/>
      <c r="G4" s="48"/>
      <c r="H4" s="106"/>
      <c r="I4" s="118"/>
      <c r="J4" s="106"/>
      <c r="K4" s="48"/>
      <c r="L4" s="25">
        <v>0</v>
      </c>
      <c r="M4" s="106">
        <v>0</v>
      </c>
      <c r="N4" s="48">
        <v>0</v>
      </c>
      <c r="O4" s="106">
        <v>7</v>
      </c>
      <c r="P4" s="48">
        <v>0</v>
      </c>
      <c r="Q4" s="14" t="s">
        <v>34</v>
      </c>
      <c r="R4" s="109" t="s">
        <v>34</v>
      </c>
      <c r="S4" s="109" t="s">
        <v>34</v>
      </c>
      <c r="T4" s="109" t="s">
        <v>34</v>
      </c>
      <c r="U4" s="109" t="s">
        <v>34</v>
      </c>
      <c r="V4" s="281">
        <v>0</v>
      </c>
      <c r="W4" s="109" t="s">
        <v>34</v>
      </c>
      <c r="X4" s="109" t="s">
        <v>34</v>
      </c>
      <c r="Y4" s="109" t="s">
        <v>34</v>
      </c>
      <c r="Z4" s="109" t="s">
        <v>34</v>
      </c>
      <c r="AA4" s="281">
        <v>0</v>
      </c>
      <c r="AB4" s="109" t="s">
        <v>34</v>
      </c>
      <c r="AC4" s="109" t="s">
        <v>34</v>
      </c>
      <c r="AD4" s="281">
        <v>0</v>
      </c>
      <c r="AE4" s="281">
        <v>0</v>
      </c>
      <c r="AF4" s="281">
        <v>0</v>
      </c>
      <c r="AG4" s="281">
        <v>0</v>
      </c>
      <c r="AH4" s="119">
        <v>0</v>
      </c>
      <c r="AI4" s="117">
        <f t="shared" ref="AI4:AI40" si="0">SUM(Q4:AH4)</f>
        <v>0</v>
      </c>
      <c r="AJ4" s="14" t="s">
        <v>34</v>
      </c>
      <c r="AK4" s="109" t="s">
        <v>34</v>
      </c>
      <c r="AL4" s="109" t="s">
        <v>34</v>
      </c>
      <c r="AM4" s="109" t="s">
        <v>34</v>
      </c>
      <c r="AN4" s="109" t="s">
        <v>34</v>
      </c>
      <c r="AO4" s="109" t="s">
        <v>34</v>
      </c>
      <c r="AP4" s="109" t="s">
        <v>34</v>
      </c>
      <c r="AQ4" s="109" t="s">
        <v>34</v>
      </c>
      <c r="AR4" s="109" t="s">
        <v>34</v>
      </c>
      <c r="AS4" s="109" t="s">
        <v>34</v>
      </c>
      <c r="AT4" s="109" t="s">
        <v>34</v>
      </c>
      <c r="AU4" s="109" t="s">
        <v>34</v>
      </c>
      <c r="AV4" s="109" t="s">
        <v>34</v>
      </c>
      <c r="AW4" s="109" t="s">
        <v>34</v>
      </c>
      <c r="AX4" s="109" t="s">
        <v>34</v>
      </c>
      <c r="AY4" s="109" t="s">
        <v>34</v>
      </c>
      <c r="AZ4" s="109" t="s">
        <v>34</v>
      </c>
      <c r="BA4" s="14" t="s">
        <v>34</v>
      </c>
      <c r="BB4" s="72">
        <f>SUM(AJ4:BA4)</f>
        <v>0</v>
      </c>
      <c r="BC4" s="117">
        <f>SUM(AI4+BB4)</f>
        <v>0</v>
      </c>
      <c r="BD4" s="14"/>
      <c r="BE4" s="14"/>
      <c r="BF4" s="14"/>
      <c r="BG4" s="14"/>
      <c r="BH4" s="14"/>
      <c r="BI4" s="14"/>
      <c r="BJ4" s="14"/>
      <c r="BK4" s="14"/>
      <c r="BL4" s="14"/>
    </row>
    <row r="5" spans="1:64" s="1" customFormat="1" x14ac:dyDescent="0.25">
      <c r="A5" s="27" t="s">
        <v>138</v>
      </c>
      <c r="B5" s="111" t="s">
        <v>509</v>
      </c>
      <c r="C5" s="116" t="s">
        <v>690</v>
      </c>
      <c r="D5" s="112"/>
      <c r="E5" s="101"/>
      <c r="F5" s="113"/>
      <c r="G5" s="101"/>
      <c r="H5" s="115"/>
      <c r="I5" s="117"/>
      <c r="J5" s="112"/>
      <c r="K5" s="101"/>
      <c r="L5" s="72">
        <v>0</v>
      </c>
      <c r="M5" s="112">
        <v>0</v>
      </c>
      <c r="N5" s="101">
        <v>0</v>
      </c>
      <c r="O5" s="112">
        <v>0</v>
      </c>
      <c r="P5" s="101">
        <v>11</v>
      </c>
      <c r="Q5" s="115" t="s">
        <v>34</v>
      </c>
      <c r="R5" s="114" t="s">
        <v>34</v>
      </c>
      <c r="S5" s="114" t="s">
        <v>34</v>
      </c>
      <c r="T5" s="114" t="s">
        <v>34</v>
      </c>
      <c r="U5" s="114" t="s">
        <v>34</v>
      </c>
      <c r="V5" s="114" t="s">
        <v>34</v>
      </c>
      <c r="W5" s="114" t="s">
        <v>34</v>
      </c>
      <c r="X5" s="114" t="s">
        <v>34</v>
      </c>
      <c r="Y5" s="114" t="s">
        <v>34</v>
      </c>
      <c r="Z5" s="114" t="s">
        <v>34</v>
      </c>
      <c r="AA5" s="114" t="s">
        <v>34</v>
      </c>
      <c r="AB5" s="114" t="s">
        <v>34</v>
      </c>
      <c r="AC5" s="114" t="s">
        <v>34</v>
      </c>
      <c r="AD5" s="114" t="s">
        <v>34</v>
      </c>
      <c r="AE5" s="114" t="s">
        <v>34</v>
      </c>
      <c r="AF5" s="114" t="s">
        <v>34</v>
      </c>
      <c r="AG5" s="114" t="s">
        <v>34</v>
      </c>
      <c r="AH5" s="101" t="s">
        <v>34</v>
      </c>
      <c r="AI5" s="117">
        <f t="shared" si="0"/>
        <v>0</v>
      </c>
      <c r="AJ5" s="115" t="s">
        <v>34</v>
      </c>
      <c r="AK5" s="114" t="s">
        <v>34</v>
      </c>
      <c r="AL5" s="114" t="s">
        <v>34</v>
      </c>
      <c r="AM5" s="114" t="s">
        <v>34</v>
      </c>
      <c r="AN5" s="114" t="s">
        <v>34</v>
      </c>
      <c r="AO5" s="114" t="s">
        <v>34</v>
      </c>
      <c r="AP5" s="114" t="s">
        <v>34</v>
      </c>
      <c r="AQ5" s="198">
        <v>0</v>
      </c>
      <c r="AR5" s="198">
        <v>0</v>
      </c>
      <c r="AS5" s="198">
        <v>0</v>
      </c>
      <c r="AT5" s="198">
        <v>0</v>
      </c>
      <c r="AU5" s="198">
        <v>0</v>
      </c>
      <c r="AV5" s="198">
        <v>0</v>
      </c>
      <c r="AW5" s="198">
        <v>0</v>
      </c>
      <c r="AX5" s="198">
        <v>0</v>
      </c>
      <c r="AY5" s="198">
        <v>0</v>
      </c>
      <c r="AZ5" s="198">
        <v>0</v>
      </c>
      <c r="BA5" s="198">
        <v>0</v>
      </c>
      <c r="BB5" s="72">
        <f>SUM(AJ5:BA5)</f>
        <v>0</v>
      </c>
      <c r="BC5" s="117">
        <f t="shared" ref="BC5:BC40" si="1">SUM(AI5+BB5)</f>
        <v>0</v>
      </c>
      <c r="BD5" s="14"/>
      <c r="BE5" s="14"/>
      <c r="BF5" s="14"/>
      <c r="BG5" s="14"/>
      <c r="BH5" s="14"/>
      <c r="BI5" s="14"/>
      <c r="BJ5" s="14"/>
      <c r="BK5" s="14"/>
      <c r="BL5" s="14"/>
    </row>
    <row r="6" spans="1:64" x14ac:dyDescent="0.25">
      <c r="A6" s="27" t="s">
        <v>138</v>
      </c>
      <c r="B6" s="274" t="s">
        <v>586</v>
      </c>
      <c r="C6" s="275" t="s">
        <v>483</v>
      </c>
      <c r="D6" s="151">
        <v>-10</v>
      </c>
      <c r="E6" s="101">
        <v>-11</v>
      </c>
      <c r="F6" s="115"/>
      <c r="G6" s="101"/>
      <c r="H6" s="115">
        <v>1</v>
      </c>
      <c r="I6" s="117"/>
      <c r="J6" s="151"/>
      <c r="K6" s="101"/>
      <c r="L6" s="72">
        <v>16</v>
      </c>
      <c r="M6" s="151">
        <v>9</v>
      </c>
      <c r="N6" s="101">
        <v>7</v>
      </c>
      <c r="O6" s="151">
        <v>8</v>
      </c>
      <c r="P6" s="101">
        <v>0</v>
      </c>
      <c r="Q6" s="281">
        <v>0</v>
      </c>
      <c r="R6" s="281">
        <v>0</v>
      </c>
      <c r="S6" s="281">
        <v>0</v>
      </c>
      <c r="T6" s="281">
        <v>0</v>
      </c>
      <c r="U6" s="281">
        <v>0</v>
      </c>
      <c r="V6" s="147">
        <v>90</v>
      </c>
      <c r="W6" s="147">
        <v>90</v>
      </c>
      <c r="X6" s="147">
        <v>90</v>
      </c>
      <c r="Y6" s="147">
        <v>90</v>
      </c>
      <c r="Z6" s="281">
        <v>0</v>
      </c>
      <c r="AA6" s="147" t="s">
        <v>34</v>
      </c>
      <c r="AB6" s="281">
        <v>0</v>
      </c>
      <c r="AC6" s="281">
        <v>0</v>
      </c>
      <c r="AD6" s="147">
        <v>90</v>
      </c>
      <c r="AE6" s="147">
        <v>90</v>
      </c>
      <c r="AF6" s="147">
        <v>90</v>
      </c>
      <c r="AG6" s="147">
        <v>90</v>
      </c>
      <c r="AH6" s="101">
        <v>90</v>
      </c>
      <c r="AI6" s="117">
        <f t="shared" si="0"/>
        <v>810</v>
      </c>
      <c r="AJ6" s="115">
        <v>90</v>
      </c>
      <c r="AK6" s="147">
        <v>90</v>
      </c>
      <c r="AL6" s="147">
        <v>90</v>
      </c>
      <c r="AM6" s="147">
        <v>90</v>
      </c>
      <c r="AN6" s="147">
        <v>90</v>
      </c>
      <c r="AO6" s="147">
        <v>90</v>
      </c>
      <c r="AP6" s="147">
        <v>90</v>
      </c>
      <c r="AQ6" s="147" t="s">
        <v>34</v>
      </c>
      <c r="AR6" s="147" t="s">
        <v>34</v>
      </c>
      <c r="AS6" s="147" t="s">
        <v>34</v>
      </c>
      <c r="AT6" s="147" t="s">
        <v>34</v>
      </c>
      <c r="AU6" s="147" t="s">
        <v>34</v>
      </c>
      <c r="AV6" s="147" t="s">
        <v>34</v>
      </c>
      <c r="AW6" s="147" t="s">
        <v>34</v>
      </c>
      <c r="AX6" s="147" t="s">
        <v>34</v>
      </c>
      <c r="AY6" s="147" t="s">
        <v>34</v>
      </c>
      <c r="AZ6" s="147" t="s">
        <v>34</v>
      </c>
      <c r="BA6" s="147" t="s">
        <v>34</v>
      </c>
      <c r="BB6" s="72">
        <f>SUM(AJ6:BA6)</f>
        <v>630</v>
      </c>
      <c r="BC6" s="117">
        <f>SUM(AI6+BB6)</f>
        <v>1440</v>
      </c>
      <c r="BD6" s="75"/>
      <c r="BE6" s="75"/>
      <c r="BF6" s="75"/>
      <c r="BG6" s="75"/>
      <c r="BH6" s="75"/>
      <c r="BI6" s="75"/>
      <c r="BJ6" s="75"/>
      <c r="BK6" s="75"/>
      <c r="BL6" s="75"/>
    </row>
    <row r="7" spans="1:64" x14ac:dyDescent="0.25">
      <c r="A7" s="27" t="s">
        <v>138</v>
      </c>
      <c r="B7" s="274" t="s">
        <v>603</v>
      </c>
      <c r="C7" s="275" t="s">
        <v>511</v>
      </c>
      <c r="D7" s="151">
        <v>-16</v>
      </c>
      <c r="E7" s="101">
        <v>-19</v>
      </c>
      <c r="F7" s="115"/>
      <c r="G7" s="101"/>
      <c r="H7" s="115"/>
      <c r="I7" s="117">
        <v>1</v>
      </c>
      <c r="J7" s="151"/>
      <c r="K7" s="101"/>
      <c r="L7" s="72">
        <v>20</v>
      </c>
      <c r="M7" s="151">
        <v>9</v>
      </c>
      <c r="N7" s="101">
        <v>11</v>
      </c>
      <c r="O7" s="151">
        <v>3</v>
      </c>
      <c r="P7" s="101">
        <v>7</v>
      </c>
      <c r="Q7" s="151">
        <v>90</v>
      </c>
      <c r="R7" s="147">
        <v>90</v>
      </c>
      <c r="S7" s="147">
        <v>90</v>
      </c>
      <c r="T7" s="147">
        <v>90</v>
      </c>
      <c r="U7" s="147">
        <v>90</v>
      </c>
      <c r="V7" s="147" t="s">
        <v>34</v>
      </c>
      <c r="W7" s="281">
        <v>0</v>
      </c>
      <c r="X7" s="281">
        <v>0</v>
      </c>
      <c r="Y7" s="281">
        <v>0</v>
      </c>
      <c r="Z7" s="147">
        <v>90</v>
      </c>
      <c r="AA7" s="147">
        <v>90</v>
      </c>
      <c r="AB7" s="147">
        <v>90</v>
      </c>
      <c r="AC7" s="147">
        <v>90</v>
      </c>
      <c r="AD7" s="147" t="s">
        <v>34</v>
      </c>
      <c r="AE7" s="147" t="s">
        <v>34</v>
      </c>
      <c r="AF7" s="147" t="s">
        <v>34</v>
      </c>
      <c r="AG7" s="147" t="s">
        <v>34</v>
      </c>
      <c r="AH7" s="101" t="s">
        <v>34</v>
      </c>
      <c r="AI7" s="117">
        <f t="shared" si="0"/>
        <v>810</v>
      </c>
      <c r="AJ7" s="277">
        <v>0</v>
      </c>
      <c r="AK7" s="198">
        <v>0</v>
      </c>
      <c r="AL7" s="198">
        <v>0</v>
      </c>
      <c r="AM7" s="198">
        <v>0</v>
      </c>
      <c r="AN7" s="198">
        <v>0</v>
      </c>
      <c r="AO7" s="198">
        <v>0</v>
      </c>
      <c r="AP7" s="198">
        <v>0</v>
      </c>
      <c r="AQ7" s="147">
        <v>90</v>
      </c>
      <c r="AR7" s="147">
        <v>90</v>
      </c>
      <c r="AS7" s="147">
        <v>90</v>
      </c>
      <c r="AT7" s="147">
        <v>90</v>
      </c>
      <c r="AU7" s="147">
        <v>90</v>
      </c>
      <c r="AV7" s="147">
        <v>90</v>
      </c>
      <c r="AW7" s="147">
        <v>90</v>
      </c>
      <c r="AX7" s="147">
        <v>90</v>
      </c>
      <c r="AY7" s="147">
        <v>90</v>
      </c>
      <c r="AZ7" s="147">
        <v>90</v>
      </c>
      <c r="BA7" s="147">
        <v>90</v>
      </c>
      <c r="BB7" s="72">
        <f t="shared" ref="BB7:BB40" si="2">SUM(AJ7:BA7)</f>
        <v>990</v>
      </c>
      <c r="BC7" s="117">
        <f t="shared" si="1"/>
        <v>1800</v>
      </c>
      <c r="BD7" s="75"/>
      <c r="BE7" s="75"/>
      <c r="BF7" s="75"/>
      <c r="BG7" s="75"/>
      <c r="BH7" s="75"/>
      <c r="BI7" s="75"/>
      <c r="BJ7" s="75"/>
      <c r="BK7" s="75"/>
      <c r="BL7" s="75"/>
    </row>
    <row r="8" spans="1:64" x14ac:dyDescent="0.25">
      <c r="A8" s="28" t="s">
        <v>141</v>
      </c>
      <c r="B8" s="274" t="s">
        <v>579</v>
      </c>
      <c r="C8" s="275" t="s">
        <v>580</v>
      </c>
      <c r="D8" s="151">
        <v>1</v>
      </c>
      <c r="E8" s="312"/>
      <c r="F8" s="115"/>
      <c r="G8" s="101"/>
      <c r="H8" s="115">
        <v>5</v>
      </c>
      <c r="I8" s="117">
        <v>4</v>
      </c>
      <c r="J8" s="151"/>
      <c r="K8" s="101"/>
      <c r="L8" s="72">
        <v>30</v>
      </c>
      <c r="M8" s="151">
        <v>14</v>
      </c>
      <c r="N8" s="101">
        <v>16</v>
      </c>
      <c r="O8" s="151">
        <v>0</v>
      </c>
      <c r="P8" s="101">
        <v>0</v>
      </c>
      <c r="Q8" s="151">
        <v>90</v>
      </c>
      <c r="R8" s="147">
        <v>90</v>
      </c>
      <c r="S8" s="147">
        <v>90</v>
      </c>
      <c r="T8" s="147">
        <v>73</v>
      </c>
      <c r="U8" s="147" t="s">
        <v>34</v>
      </c>
      <c r="V8" s="147" t="s">
        <v>34</v>
      </c>
      <c r="W8" s="147" t="s">
        <v>34</v>
      </c>
      <c r="X8" s="147">
        <v>85</v>
      </c>
      <c r="Y8" s="147">
        <v>90</v>
      </c>
      <c r="Z8" s="147">
        <v>90</v>
      </c>
      <c r="AA8" s="147">
        <v>90</v>
      </c>
      <c r="AB8" s="147">
        <v>90</v>
      </c>
      <c r="AC8" s="147">
        <v>90</v>
      </c>
      <c r="AD8" s="147">
        <v>90</v>
      </c>
      <c r="AE8" s="147" t="s">
        <v>34</v>
      </c>
      <c r="AF8" s="147">
        <v>90</v>
      </c>
      <c r="AG8" s="147">
        <v>90</v>
      </c>
      <c r="AH8" s="101">
        <v>90</v>
      </c>
      <c r="AI8" s="117">
        <f t="shared" si="0"/>
        <v>1238</v>
      </c>
      <c r="AJ8" s="51" t="s">
        <v>34</v>
      </c>
      <c r="AK8" s="147">
        <v>90</v>
      </c>
      <c r="AL8" s="147">
        <v>90</v>
      </c>
      <c r="AM8" s="147">
        <v>90</v>
      </c>
      <c r="AN8" s="147">
        <v>90</v>
      </c>
      <c r="AO8" s="147">
        <v>82</v>
      </c>
      <c r="AP8" s="147">
        <v>52</v>
      </c>
      <c r="AQ8" s="147">
        <v>90</v>
      </c>
      <c r="AR8" s="147">
        <v>90</v>
      </c>
      <c r="AS8" s="147">
        <v>90</v>
      </c>
      <c r="AT8" s="147">
        <v>90</v>
      </c>
      <c r="AU8" s="147">
        <v>90</v>
      </c>
      <c r="AV8" s="147">
        <v>86</v>
      </c>
      <c r="AW8" s="147">
        <v>66</v>
      </c>
      <c r="AX8" s="147">
        <v>90</v>
      </c>
      <c r="AY8" s="147">
        <v>58</v>
      </c>
      <c r="AZ8" s="147" t="s">
        <v>34</v>
      </c>
      <c r="BA8" s="101">
        <v>90</v>
      </c>
      <c r="BB8" s="72">
        <f t="shared" si="2"/>
        <v>1334</v>
      </c>
      <c r="BC8" s="117">
        <f t="shared" si="1"/>
        <v>2572</v>
      </c>
      <c r="BD8" s="75"/>
      <c r="BE8" s="75"/>
      <c r="BF8" s="75"/>
      <c r="BG8" s="75"/>
      <c r="BH8" s="75"/>
      <c r="BI8" s="75"/>
      <c r="BJ8" s="75"/>
      <c r="BK8" s="75"/>
      <c r="BL8" s="75"/>
    </row>
    <row r="9" spans="1:64" x14ac:dyDescent="0.25">
      <c r="A9" s="28" t="s">
        <v>141</v>
      </c>
      <c r="B9" s="274" t="s">
        <v>661</v>
      </c>
      <c r="C9" s="275" t="s">
        <v>662</v>
      </c>
      <c r="D9" s="151"/>
      <c r="E9" s="312"/>
      <c r="F9" s="115"/>
      <c r="G9" s="101"/>
      <c r="H9" s="115"/>
      <c r="I9" s="117"/>
      <c r="J9" s="151"/>
      <c r="K9" s="101"/>
      <c r="L9" s="72">
        <v>6</v>
      </c>
      <c r="M9" s="151">
        <v>1</v>
      </c>
      <c r="N9" s="101">
        <v>3</v>
      </c>
      <c r="O9" s="151">
        <v>2</v>
      </c>
      <c r="P9" s="101">
        <v>3</v>
      </c>
      <c r="Q9" s="151">
        <v>60</v>
      </c>
      <c r="R9" s="281">
        <v>0</v>
      </c>
      <c r="S9" s="147" t="s">
        <v>34</v>
      </c>
      <c r="T9" s="281">
        <v>0</v>
      </c>
      <c r="U9" s="147" t="s">
        <v>34</v>
      </c>
      <c r="V9" s="147" t="s">
        <v>34</v>
      </c>
      <c r="W9" s="147" t="s">
        <v>34</v>
      </c>
      <c r="X9" s="147" t="s">
        <v>34</v>
      </c>
      <c r="Y9" s="147" t="s">
        <v>34</v>
      </c>
      <c r="Z9" s="147" t="s">
        <v>34</v>
      </c>
      <c r="AA9" s="147" t="s">
        <v>34</v>
      </c>
      <c r="AB9" s="147" t="s">
        <v>34</v>
      </c>
      <c r="AC9" s="147" t="s">
        <v>34</v>
      </c>
      <c r="AD9" s="147" t="s">
        <v>34</v>
      </c>
      <c r="AE9" s="147" t="s">
        <v>34</v>
      </c>
      <c r="AF9" s="147" t="s">
        <v>34</v>
      </c>
      <c r="AG9" s="147" t="s">
        <v>34</v>
      </c>
      <c r="AH9" s="101" t="s">
        <v>34</v>
      </c>
      <c r="AI9" s="117">
        <f t="shared" si="0"/>
        <v>60</v>
      </c>
      <c r="AJ9" s="51" t="s">
        <v>34</v>
      </c>
      <c r="AK9" s="147" t="s">
        <v>34</v>
      </c>
      <c r="AL9" s="147" t="s">
        <v>34</v>
      </c>
      <c r="AM9" s="147" t="s">
        <v>34</v>
      </c>
      <c r="AN9" s="147" t="s">
        <v>34</v>
      </c>
      <c r="AO9" s="147" t="s">
        <v>34</v>
      </c>
      <c r="AP9" s="147" t="s">
        <v>34</v>
      </c>
      <c r="AQ9" s="147" t="s">
        <v>34</v>
      </c>
      <c r="AR9" s="147" t="s">
        <v>34</v>
      </c>
      <c r="AS9" s="147" t="s">
        <v>34</v>
      </c>
      <c r="AT9" s="147" t="s">
        <v>34</v>
      </c>
      <c r="AU9" s="198">
        <v>0</v>
      </c>
      <c r="AV9" s="198">
        <v>4</v>
      </c>
      <c r="AW9" s="147">
        <v>90</v>
      </c>
      <c r="AX9" s="147">
        <v>90</v>
      </c>
      <c r="AY9" s="147">
        <v>45</v>
      </c>
      <c r="AZ9" s="198">
        <v>20</v>
      </c>
      <c r="BA9" s="101" t="s">
        <v>34</v>
      </c>
      <c r="BB9" s="72">
        <f t="shared" si="2"/>
        <v>249</v>
      </c>
      <c r="BC9" s="117">
        <f t="shared" si="1"/>
        <v>309</v>
      </c>
      <c r="BD9" s="75"/>
      <c r="BE9" s="75"/>
      <c r="BF9" s="75"/>
      <c r="BG9" s="75"/>
      <c r="BH9" s="75"/>
      <c r="BI9" s="75"/>
      <c r="BJ9" s="75"/>
      <c r="BK9" s="75"/>
      <c r="BL9" s="75"/>
    </row>
    <row r="10" spans="1:64" x14ac:dyDescent="0.25">
      <c r="A10" s="28" t="s">
        <v>141</v>
      </c>
      <c r="B10" s="274" t="s">
        <v>689</v>
      </c>
      <c r="C10" s="275" t="s">
        <v>596</v>
      </c>
      <c r="D10" s="151"/>
      <c r="E10" s="312"/>
      <c r="F10" s="115"/>
      <c r="G10" s="101"/>
      <c r="H10" s="115"/>
      <c r="I10" s="117">
        <v>1</v>
      </c>
      <c r="J10" s="151"/>
      <c r="K10" s="101"/>
      <c r="L10" s="72">
        <v>4</v>
      </c>
      <c r="M10" s="151">
        <v>0</v>
      </c>
      <c r="N10" s="101">
        <v>2</v>
      </c>
      <c r="O10" s="151">
        <v>0</v>
      </c>
      <c r="P10" s="101">
        <v>3</v>
      </c>
      <c r="Q10" s="151" t="s">
        <v>34</v>
      </c>
      <c r="R10" s="147" t="s">
        <v>34</v>
      </c>
      <c r="S10" s="147" t="s">
        <v>34</v>
      </c>
      <c r="T10" s="147" t="s">
        <v>34</v>
      </c>
      <c r="U10" s="147" t="s">
        <v>34</v>
      </c>
      <c r="V10" s="147" t="s">
        <v>34</v>
      </c>
      <c r="W10" s="147" t="s">
        <v>34</v>
      </c>
      <c r="X10" s="147" t="s">
        <v>34</v>
      </c>
      <c r="Y10" s="147" t="s">
        <v>34</v>
      </c>
      <c r="Z10" s="147" t="s">
        <v>34</v>
      </c>
      <c r="AA10" s="147" t="s">
        <v>34</v>
      </c>
      <c r="AB10" s="147" t="s">
        <v>34</v>
      </c>
      <c r="AC10" s="147" t="s">
        <v>34</v>
      </c>
      <c r="AD10" s="147" t="s">
        <v>34</v>
      </c>
      <c r="AE10" s="147" t="s">
        <v>34</v>
      </c>
      <c r="AF10" s="147" t="s">
        <v>34</v>
      </c>
      <c r="AG10" s="147" t="s">
        <v>34</v>
      </c>
      <c r="AH10" s="101" t="s">
        <v>34</v>
      </c>
      <c r="AI10" s="117">
        <f t="shared" si="0"/>
        <v>0</v>
      </c>
      <c r="AJ10" s="51" t="s">
        <v>34</v>
      </c>
      <c r="AK10" s="147" t="s">
        <v>34</v>
      </c>
      <c r="AL10" s="147" t="s">
        <v>34</v>
      </c>
      <c r="AM10" s="147" t="s">
        <v>34</v>
      </c>
      <c r="AN10" s="147" t="s">
        <v>34</v>
      </c>
      <c r="AO10" s="147" t="s">
        <v>34</v>
      </c>
      <c r="AP10" s="198">
        <v>38</v>
      </c>
      <c r="AQ10" s="147" t="s">
        <v>34</v>
      </c>
      <c r="AR10" s="147" t="s">
        <v>34</v>
      </c>
      <c r="AS10" s="147" t="s">
        <v>34</v>
      </c>
      <c r="AT10" s="198">
        <v>0</v>
      </c>
      <c r="AU10" s="147">
        <v>90</v>
      </c>
      <c r="AV10" s="147">
        <v>90</v>
      </c>
      <c r="AW10" s="147" t="s">
        <v>34</v>
      </c>
      <c r="AX10" s="198">
        <v>11</v>
      </c>
      <c r="AY10" s="147" t="s">
        <v>34</v>
      </c>
      <c r="AZ10" s="147" t="s">
        <v>34</v>
      </c>
      <c r="BA10" s="101" t="s">
        <v>34</v>
      </c>
      <c r="BB10" s="72">
        <f>SUM(AJ10:BA10)</f>
        <v>229</v>
      </c>
      <c r="BC10" s="117">
        <f t="shared" si="1"/>
        <v>229</v>
      </c>
      <c r="BD10" s="75"/>
      <c r="BE10" s="75"/>
      <c r="BF10" s="75"/>
      <c r="BG10" s="75"/>
      <c r="BH10" s="75"/>
      <c r="BI10" s="75"/>
      <c r="BJ10" s="75"/>
      <c r="BK10" s="75"/>
      <c r="BL10" s="75"/>
    </row>
    <row r="11" spans="1:64" x14ac:dyDescent="0.25">
      <c r="A11" s="28" t="s">
        <v>141</v>
      </c>
      <c r="B11" s="274" t="s">
        <v>597</v>
      </c>
      <c r="C11" s="275" t="s">
        <v>598</v>
      </c>
      <c r="D11" s="151"/>
      <c r="E11" s="312"/>
      <c r="F11" s="115"/>
      <c r="G11" s="101"/>
      <c r="H11" s="115">
        <v>1</v>
      </c>
      <c r="I11" s="117">
        <v>1</v>
      </c>
      <c r="J11" s="151"/>
      <c r="K11" s="101"/>
      <c r="L11" s="72">
        <v>11</v>
      </c>
      <c r="M11" s="151">
        <v>3</v>
      </c>
      <c r="N11" s="101">
        <v>1</v>
      </c>
      <c r="O11" s="151">
        <v>8</v>
      </c>
      <c r="P11" s="101">
        <v>10</v>
      </c>
      <c r="Q11" s="151" t="s">
        <v>34</v>
      </c>
      <c r="R11" s="147" t="s">
        <v>34</v>
      </c>
      <c r="S11" s="147" t="s">
        <v>34</v>
      </c>
      <c r="T11" s="281">
        <v>0</v>
      </c>
      <c r="U11" s="281">
        <v>0</v>
      </c>
      <c r="V11" s="147">
        <v>59</v>
      </c>
      <c r="W11" s="147">
        <v>90</v>
      </c>
      <c r="X11" s="147">
        <v>62</v>
      </c>
      <c r="Y11" s="281">
        <v>0</v>
      </c>
      <c r="Z11" s="281">
        <v>0</v>
      </c>
      <c r="AA11" s="147" t="s">
        <v>34</v>
      </c>
      <c r="AB11" s="281">
        <v>0</v>
      </c>
      <c r="AC11" s="147" t="s">
        <v>34</v>
      </c>
      <c r="AD11" s="281">
        <v>0</v>
      </c>
      <c r="AE11" s="147" t="s">
        <v>34</v>
      </c>
      <c r="AF11" s="281">
        <v>18</v>
      </c>
      <c r="AG11" s="147" t="s">
        <v>34</v>
      </c>
      <c r="AH11" s="289">
        <v>0</v>
      </c>
      <c r="AI11" s="117">
        <f t="shared" si="0"/>
        <v>229</v>
      </c>
      <c r="AJ11" s="51" t="s">
        <v>34</v>
      </c>
      <c r="AK11" s="198">
        <v>0</v>
      </c>
      <c r="AL11" s="198">
        <v>1</v>
      </c>
      <c r="AM11" s="198">
        <v>0</v>
      </c>
      <c r="AN11" s="198">
        <v>10</v>
      </c>
      <c r="AO11" s="198">
        <v>0</v>
      </c>
      <c r="AP11" s="198">
        <v>0</v>
      </c>
      <c r="AQ11" s="147" t="s">
        <v>34</v>
      </c>
      <c r="AR11" s="198">
        <v>27</v>
      </c>
      <c r="AS11" s="198">
        <v>45</v>
      </c>
      <c r="AT11" s="147">
        <v>45</v>
      </c>
      <c r="AU11" s="198">
        <v>10</v>
      </c>
      <c r="AV11" s="198">
        <v>12</v>
      </c>
      <c r="AW11" s="147" t="s">
        <v>34</v>
      </c>
      <c r="AX11" s="147" t="s">
        <v>34</v>
      </c>
      <c r="AY11" s="147" t="s">
        <v>34</v>
      </c>
      <c r="AZ11" s="147" t="s">
        <v>34</v>
      </c>
      <c r="BA11" s="101" t="s">
        <v>34</v>
      </c>
      <c r="BB11" s="72">
        <f t="shared" si="2"/>
        <v>150</v>
      </c>
      <c r="BC11" s="117">
        <f t="shared" si="1"/>
        <v>379</v>
      </c>
      <c r="BD11" s="75"/>
      <c r="BE11" s="75"/>
      <c r="BF11" s="75"/>
      <c r="BG11" s="75"/>
      <c r="BH11" s="75"/>
      <c r="BI11" s="75"/>
      <c r="BJ11" s="75"/>
      <c r="BK11" s="75"/>
      <c r="BL11" s="75"/>
    </row>
    <row r="12" spans="1:64" x14ac:dyDescent="0.25">
      <c r="A12" s="28" t="s">
        <v>141</v>
      </c>
      <c r="B12" s="274" t="s">
        <v>677</v>
      </c>
      <c r="C12" s="275" t="s">
        <v>500</v>
      </c>
      <c r="D12" s="151">
        <v>1</v>
      </c>
      <c r="E12" s="312"/>
      <c r="F12" s="115"/>
      <c r="G12" s="101"/>
      <c r="H12" s="115">
        <v>3</v>
      </c>
      <c r="I12" s="117">
        <v>2</v>
      </c>
      <c r="J12" s="151"/>
      <c r="K12" s="101"/>
      <c r="L12" s="72">
        <v>17</v>
      </c>
      <c r="M12" s="151">
        <v>11</v>
      </c>
      <c r="N12" s="101">
        <v>5</v>
      </c>
      <c r="O12" s="151">
        <v>2</v>
      </c>
      <c r="P12" s="101">
        <v>0</v>
      </c>
      <c r="Q12" s="151" t="s">
        <v>34</v>
      </c>
      <c r="R12" s="147" t="s">
        <v>34</v>
      </c>
      <c r="S12" s="147" t="s">
        <v>34</v>
      </c>
      <c r="T12" s="147" t="s">
        <v>34</v>
      </c>
      <c r="U12" s="147" t="s">
        <v>34</v>
      </c>
      <c r="V12" s="147">
        <v>90</v>
      </c>
      <c r="W12" s="147">
        <v>77</v>
      </c>
      <c r="X12" s="281">
        <v>5</v>
      </c>
      <c r="Y12" s="281">
        <v>0</v>
      </c>
      <c r="Z12" s="147">
        <v>90</v>
      </c>
      <c r="AA12" s="147">
        <v>90</v>
      </c>
      <c r="AB12" s="147">
        <v>90</v>
      </c>
      <c r="AC12" s="147">
        <v>90</v>
      </c>
      <c r="AD12" s="147">
        <v>90</v>
      </c>
      <c r="AE12" s="147">
        <v>90</v>
      </c>
      <c r="AF12" s="147">
        <v>72</v>
      </c>
      <c r="AG12" s="147">
        <v>90</v>
      </c>
      <c r="AH12" s="101">
        <v>83</v>
      </c>
      <c r="AI12" s="117">
        <f t="shared" si="0"/>
        <v>957</v>
      </c>
      <c r="AJ12" s="51">
        <v>90</v>
      </c>
      <c r="AK12" s="147">
        <v>75</v>
      </c>
      <c r="AL12" s="147" t="s">
        <v>34</v>
      </c>
      <c r="AM12" s="147">
        <v>90</v>
      </c>
      <c r="AN12" s="147">
        <v>90</v>
      </c>
      <c r="AO12" s="147">
        <v>85</v>
      </c>
      <c r="AP12" s="147" t="s">
        <v>34</v>
      </c>
      <c r="AQ12" s="147" t="s">
        <v>34</v>
      </c>
      <c r="AR12" s="147" t="s">
        <v>34</v>
      </c>
      <c r="AS12" s="147" t="s">
        <v>34</v>
      </c>
      <c r="AT12" s="147" t="s">
        <v>34</v>
      </c>
      <c r="AU12" s="147" t="s">
        <v>34</v>
      </c>
      <c r="AV12" s="147" t="s">
        <v>34</v>
      </c>
      <c r="AW12" s="147" t="s">
        <v>34</v>
      </c>
      <c r="AX12" s="147" t="s">
        <v>34</v>
      </c>
      <c r="AY12" s="147" t="s">
        <v>34</v>
      </c>
      <c r="AZ12" s="147" t="s">
        <v>34</v>
      </c>
      <c r="BA12" s="101" t="s">
        <v>34</v>
      </c>
      <c r="BB12" s="72">
        <f t="shared" si="2"/>
        <v>430</v>
      </c>
      <c r="BC12" s="117">
        <f t="shared" si="1"/>
        <v>1387</v>
      </c>
      <c r="BD12" s="75"/>
      <c r="BE12" s="75"/>
      <c r="BF12" s="75"/>
      <c r="BG12" s="75"/>
      <c r="BH12" s="75"/>
      <c r="BI12" s="75"/>
      <c r="BJ12" s="75"/>
      <c r="BK12" s="75"/>
      <c r="BL12" s="75"/>
    </row>
    <row r="13" spans="1:64" x14ac:dyDescent="0.25">
      <c r="A13" s="28" t="s">
        <v>141</v>
      </c>
      <c r="B13" s="274" t="s">
        <v>665</v>
      </c>
      <c r="C13" s="275" t="s">
        <v>666</v>
      </c>
      <c r="D13" s="151"/>
      <c r="E13" s="312"/>
      <c r="F13" s="115"/>
      <c r="G13" s="101"/>
      <c r="H13" s="115">
        <v>2</v>
      </c>
      <c r="I13" s="117"/>
      <c r="J13" s="151"/>
      <c r="K13" s="101"/>
      <c r="L13" s="72">
        <v>10</v>
      </c>
      <c r="M13" s="151">
        <v>7</v>
      </c>
      <c r="N13" s="101">
        <v>1</v>
      </c>
      <c r="O13" s="151">
        <v>10</v>
      </c>
      <c r="P13" s="101">
        <v>4</v>
      </c>
      <c r="Q13" s="281">
        <v>0</v>
      </c>
      <c r="R13" s="281">
        <v>0</v>
      </c>
      <c r="S13" s="281">
        <v>6</v>
      </c>
      <c r="T13" s="281">
        <v>17</v>
      </c>
      <c r="U13" s="147">
        <v>90</v>
      </c>
      <c r="V13" s="147">
        <v>90</v>
      </c>
      <c r="W13" s="147">
        <v>90</v>
      </c>
      <c r="X13" s="147">
        <v>85</v>
      </c>
      <c r="Y13" s="147">
        <v>90</v>
      </c>
      <c r="Z13" s="147" t="s">
        <v>34</v>
      </c>
      <c r="AA13" s="281">
        <v>0</v>
      </c>
      <c r="AB13" s="147">
        <v>90</v>
      </c>
      <c r="AC13" s="281">
        <v>0</v>
      </c>
      <c r="AD13" s="281">
        <v>0</v>
      </c>
      <c r="AE13" s="147">
        <v>90</v>
      </c>
      <c r="AF13" s="281">
        <v>0</v>
      </c>
      <c r="AG13" s="281">
        <v>0</v>
      </c>
      <c r="AH13" s="289">
        <v>0</v>
      </c>
      <c r="AI13" s="117">
        <f t="shared" si="0"/>
        <v>648</v>
      </c>
      <c r="AJ13" s="51">
        <v>90</v>
      </c>
      <c r="AK13" s="198">
        <v>0</v>
      </c>
      <c r="AL13" s="147" t="s">
        <v>34</v>
      </c>
      <c r="AM13" s="147" t="s">
        <v>34</v>
      </c>
      <c r="AN13" s="198">
        <v>0</v>
      </c>
      <c r="AO13" s="147" t="s">
        <v>34</v>
      </c>
      <c r="AP13" s="147" t="s">
        <v>34</v>
      </c>
      <c r="AQ13" s="147" t="s">
        <v>34</v>
      </c>
      <c r="AR13" s="147" t="s">
        <v>34</v>
      </c>
      <c r="AS13" s="147" t="s">
        <v>34</v>
      </c>
      <c r="AT13" s="147" t="s">
        <v>34</v>
      </c>
      <c r="AU13" s="198">
        <v>0</v>
      </c>
      <c r="AV13" s="147" t="s">
        <v>34</v>
      </c>
      <c r="AW13" s="147" t="s">
        <v>34</v>
      </c>
      <c r="AX13" s="147" t="s">
        <v>34</v>
      </c>
      <c r="AY13" s="147" t="s">
        <v>34</v>
      </c>
      <c r="AZ13" s="198">
        <v>0</v>
      </c>
      <c r="BA13" s="101" t="s">
        <v>34</v>
      </c>
      <c r="BB13" s="72">
        <f t="shared" si="2"/>
        <v>90</v>
      </c>
      <c r="BC13" s="117">
        <f t="shared" si="1"/>
        <v>738</v>
      </c>
      <c r="BD13" s="75"/>
      <c r="BE13" s="75"/>
      <c r="BF13" s="75"/>
      <c r="BG13" s="75"/>
      <c r="BH13" s="75"/>
      <c r="BI13" s="75"/>
      <c r="BJ13" s="75"/>
      <c r="BK13" s="75"/>
      <c r="BL13" s="75"/>
    </row>
    <row r="14" spans="1:64" x14ac:dyDescent="0.25">
      <c r="A14" s="28" t="s">
        <v>141</v>
      </c>
      <c r="B14" s="274" t="s">
        <v>492</v>
      </c>
      <c r="C14" s="275" t="s">
        <v>20</v>
      </c>
      <c r="D14" s="151"/>
      <c r="E14" s="312"/>
      <c r="F14" s="115"/>
      <c r="G14" s="101"/>
      <c r="H14" s="115"/>
      <c r="I14" s="117">
        <v>4</v>
      </c>
      <c r="J14" s="151"/>
      <c r="K14" s="101"/>
      <c r="L14" s="72">
        <v>11</v>
      </c>
      <c r="M14" s="151">
        <v>0</v>
      </c>
      <c r="N14" s="101">
        <v>10</v>
      </c>
      <c r="O14" s="151">
        <v>0</v>
      </c>
      <c r="P14" s="101">
        <v>2</v>
      </c>
      <c r="Q14" s="151" t="s">
        <v>34</v>
      </c>
      <c r="R14" s="147" t="s">
        <v>34</v>
      </c>
      <c r="S14" s="147" t="s">
        <v>34</v>
      </c>
      <c r="T14" s="147" t="s">
        <v>34</v>
      </c>
      <c r="U14" s="147" t="s">
        <v>34</v>
      </c>
      <c r="V14" s="147" t="s">
        <v>34</v>
      </c>
      <c r="W14" s="147" t="s">
        <v>34</v>
      </c>
      <c r="X14" s="147" t="s">
        <v>34</v>
      </c>
      <c r="Y14" s="147" t="s">
        <v>34</v>
      </c>
      <c r="Z14" s="147" t="s">
        <v>34</v>
      </c>
      <c r="AA14" s="147" t="s">
        <v>34</v>
      </c>
      <c r="AB14" s="147" t="s">
        <v>34</v>
      </c>
      <c r="AC14" s="147" t="s">
        <v>34</v>
      </c>
      <c r="AD14" s="147" t="s">
        <v>34</v>
      </c>
      <c r="AE14" s="147" t="s">
        <v>34</v>
      </c>
      <c r="AF14" s="147" t="s">
        <v>34</v>
      </c>
      <c r="AG14" s="147" t="s">
        <v>34</v>
      </c>
      <c r="AH14" s="101" t="s">
        <v>34</v>
      </c>
      <c r="AI14" s="117">
        <f t="shared" si="0"/>
        <v>0</v>
      </c>
      <c r="AJ14" s="195">
        <v>0</v>
      </c>
      <c r="AK14" s="147">
        <v>90</v>
      </c>
      <c r="AL14" s="147">
        <v>90</v>
      </c>
      <c r="AM14" s="147">
        <v>90</v>
      </c>
      <c r="AN14" s="147">
        <v>90</v>
      </c>
      <c r="AO14" s="147">
        <v>90</v>
      </c>
      <c r="AP14" s="147">
        <v>90</v>
      </c>
      <c r="AQ14" s="147">
        <v>90</v>
      </c>
      <c r="AR14" s="147">
        <v>90</v>
      </c>
      <c r="AS14" s="147">
        <v>7</v>
      </c>
      <c r="AT14" s="147" t="s">
        <v>34</v>
      </c>
      <c r="AU14" s="147" t="s">
        <v>34</v>
      </c>
      <c r="AV14" s="147" t="s">
        <v>34</v>
      </c>
      <c r="AW14" s="147">
        <v>66</v>
      </c>
      <c r="AX14" s="147" t="s">
        <v>34</v>
      </c>
      <c r="AY14" s="147" t="s">
        <v>34</v>
      </c>
      <c r="AZ14" s="147" t="s">
        <v>34</v>
      </c>
      <c r="BA14" s="198">
        <v>26</v>
      </c>
      <c r="BB14" s="72">
        <f t="shared" si="2"/>
        <v>819</v>
      </c>
      <c r="BC14" s="117">
        <f t="shared" si="1"/>
        <v>819</v>
      </c>
      <c r="BD14" s="75"/>
      <c r="BE14" s="75"/>
      <c r="BF14" s="75"/>
      <c r="BG14" s="75"/>
      <c r="BH14" s="75"/>
      <c r="BI14" s="75"/>
      <c r="BJ14" s="75"/>
      <c r="BK14" s="75"/>
      <c r="BL14" s="75"/>
    </row>
    <row r="15" spans="1:64" x14ac:dyDescent="0.25">
      <c r="A15" s="28" t="s">
        <v>141</v>
      </c>
      <c r="B15" s="274" t="s">
        <v>337</v>
      </c>
      <c r="C15" s="275" t="s">
        <v>2</v>
      </c>
      <c r="D15" s="151"/>
      <c r="E15" s="312">
        <v>1</v>
      </c>
      <c r="F15" s="115"/>
      <c r="G15" s="101"/>
      <c r="H15" s="115">
        <v>7</v>
      </c>
      <c r="I15" s="117">
        <v>1</v>
      </c>
      <c r="J15" s="151"/>
      <c r="K15" s="101"/>
      <c r="L15" s="72">
        <v>23</v>
      </c>
      <c r="M15" s="151">
        <v>16</v>
      </c>
      <c r="N15" s="101">
        <v>6</v>
      </c>
      <c r="O15" s="151">
        <v>1</v>
      </c>
      <c r="P15" s="101">
        <v>0</v>
      </c>
      <c r="Q15" s="151">
        <v>90</v>
      </c>
      <c r="R15" s="147">
        <v>90</v>
      </c>
      <c r="S15" s="147">
        <v>90</v>
      </c>
      <c r="T15" s="147">
        <v>90</v>
      </c>
      <c r="U15" s="147">
        <v>90</v>
      </c>
      <c r="V15" s="14">
        <v>90</v>
      </c>
      <c r="W15" s="147">
        <v>90</v>
      </c>
      <c r="X15" s="147">
        <v>90</v>
      </c>
      <c r="Y15" s="281">
        <v>82</v>
      </c>
      <c r="Z15" s="147">
        <v>90</v>
      </c>
      <c r="AA15" s="147">
        <v>90</v>
      </c>
      <c r="AB15" s="147" t="s">
        <v>34</v>
      </c>
      <c r="AC15" s="147">
        <v>90</v>
      </c>
      <c r="AD15" s="147">
        <v>90</v>
      </c>
      <c r="AE15" s="147">
        <v>90</v>
      </c>
      <c r="AF15" s="147">
        <v>90</v>
      </c>
      <c r="AG15" s="147">
        <v>90</v>
      </c>
      <c r="AH15" s="101">
        <v>90</v>
      </c>
      <c r="AI15" s="117">
        <f t="shared" si="0"/>
        <v>1522</v>
      </c>
      <c r="AJ15" s="51">
        <v>90</v>
      </c>
      <c r="AK15" s="147">
        <v>90</v>
      </c>
      <c r="AL15" s="147">
        <v>90</v>
      </c>
      <c r="AM15" s="147">
        <v>89</v>
      </c>
      <c r="AN15" s="147">
        <v>90</v>
      </c>
      <c r="AO15" s="147">
        <v>31</v>
      </c>
      <c r="AP15" s="147" t="s">
        <v>34</v>
      </c>
      <c r="AQ15" s="147" t="s">
        <v>34</v>
      </c>
      <c r="AR15" s="147" t="s">
        <v>34</v>
      </c>
      <c r="AS15" s="147" t="s">
        <v>34</v>
      </c>
      <c r="AT15" s="147" t="s">
        <v>34</v>
      </c>
      <c r="AU15" s="147" t="s">
        <v>34</v>
      </c>
      <c r="AV15" s="147" t="s">
        <v>34</v>
      </c>
      <c r="AW15" s="147" t="s">
        <v>34</v>
      </c>
      <c r="AX15" s="147" t="s">
        <v>34</v>
      </c>
      <c r="AY15" s="147" t="s">
        <v>34</v>
      </c>
      <c r="AZ15" s="147" t="s">
        <v>34</v>
      </c>
      <c r="BA15" s="101" t="s">
        <v>34</v>
      </c>
      <c r="BB15" s="72">
        <f t="shared" si="2"/>
        <v>480</v>
      </c>
      <c r="BC15" s="117">
        <f t="shared" si="1"/>
        <v>2002</v>
      </c>
      <c r="BD15" s="75"/>
      <c r="BE15" s="75"/>
      <c r="BF15" s="75"/>
      <c r="BG15" s="75"/>
      <c r="BH15" s="75"/>
      <c r="BI15" s="75"/>
      <c r="BJ15" s="75"/>
      <c r="BK15" s="75"/>
      <c r="BL15" s="75"/>
    </row>
    <row r="16" spans="1:64" x14ac:dyDescent="0.25">
      <c r="A16" s="28" t="s">
        <v>141</v>
      </c>
      <c r="B16" s="274" t="s">
        <v>338</v>
      </c>
      <c r="C16" s="275" t="s">
        <v>16</v>
      </c>
      <c r="D16" s="151"/>
      <c r="E16" s="312"/>
      <c r="F16" s="115"/>
      <c r="G16" s="101"/>
      <c r="H16" s="115"/>
      <c r="I16" s="117">
        <v>2</v>
      </c>
      <c r="J16" s="151"/>
      <c r="K16" s="101"/>
      <c r="L16" s="72">
        <v>10</v>
      </c>
      <c r="M16" s="151">
        <v>0</v>
      </c>
      <c r="N16" s="101">
        <v>10</v>
      </c>
      <c r="O16" s="151">
        <v>0</v>
      </c>
      <c r="P16" s="101">
        <v>0</v>
      </c>
      <c r="Q16" s="151" t="s">
        <v>34</v>
      </c>
      <c r="R16" s="147" t="s">
        <v>34</v>
      </c>
      <c r="S16" s="147" t="s">
        <v>34</v>
      </c>
      <c r="T16" s="147" t="s">
        <v>34</v>
      </c>
      <c r="U16" s="147" t="s">
        <v>34</v>
      </c>
      <c r="V16" s="147" t="s">
        <v>34</v>
      </c>
      <c r="W16" s="147" t="s">
        <v>34</v>
      </c>
      <c r="X16" s="147" t="s">
        <v>34</v>
      </c>
      <c r="Y16" s="147" t="s">
        <v>34</v>
      </c>
      <c r="Z16" s="147" t="s">
        <v>34</v>
      </c>
      <c r="AA16" s="147" t="s">
        <v>34</v>
      </c>
      <c r="AB16" s="147" t="s">
        <v>34</v>
      </c>
      <c r="AC16" s="147" t="s">
        <v>34</v>
      </c>
      <c r="AD16" s="147" t="s">
        <v>34</v>
      </c>
      <c r="AE16" s="147" t="s">
        <v>34</v>
      </c>
      <c r="AF16" s="147" t="s">
        <v>34</v>
      </c>
      <c r="AG16" s="147" t="s">
        <v>34</v>
      </c>
      <c r="AH16" s="101" t="s">
        <v>34</v>
      </c>
      <c r="AI16" s="117">
        <f t="shared" si="0"/>
        <v>0</v>
      </c>
      <c r="AJ16" s="51" t="s">
        <v>34</v>
      </c>
      <c r="AK16" s="147" t="s">
        <v>34</v>
      </c>
      <c r="AL16" s="147" t="s">
        <v>34</v>
      </c>
      <c r="AM16" s="147" t="s">
        <v>34</v>
      </c>
      <c r="AN16" s="147" t="s">
        <v>34</v>
      </c>
      <c r="AO16" s="147" t="s">
        <v>34</v>
      </c>
      <c r="AP16" s="147" t="s">
        <v>34</v>
      </c>
      <c r="AQ16" s="147">
        <v>90</v>
      </c>
      <c r="AR16" s="147">
        <v>90</v>
      </c>
      <c r="AS16" s="147">
        <v>90</v>
      </c>
      <c r="AT16" s="147">
        <v>90</v>
      </c>
      <c r="AU16" s="147">
        <v>90</v>
      </c>
      <c r="AV16" s="147">
        <v>90</v>
      </c>
      <c r="AW16" s="147">
        <v>90</v>
      </c>
      <c r="AX16" s="147">
        <v>68</v>
      </c>
      <c r="AY16" s="147">
        <v>90</v>
      </c>
      <c r="AZ16" s="147">
        <v>90</v>
      </c>
      <c r="BA16" s="101" t="s">
        <v>34</v>
      </c>
      <c r="BB16" s="72">
        <f t="shared" si="2"/>
        <v>878</v>
      </c>
      <c r="BC16" s="117">
        <f t="shared" si="1"/>
        <v>878</v>
      </c>
      <c r="BD16" s="75"/>
      <c r="BE16" s="75"/>
      <c r="BF16" s="75"/>
      <c r="BG16" s="75"/>
      <c r="BH16" s="75"/>
      <c r="BI16" s="75"/>
      <c r="BJ16" s="75"/>
      <c r="BK16" s="75"/>
      <c r="BL16" s="75"/>
    </row>
    <row r="17" spans="1:64" x14ac:dyDescent="0.25">
      <c r="A17" s="28" t="s">
        <v>141</v>
      </c>
      <c r="B17" s="274" t="s">
        <v>663</v>
      </c>
      <c r="C17" s="275" t="s">
        <v>588</v>
      </c>
      <c r="D17" s="151"/>
      <c r="E17" s="312"/>
      <c r="F17" s="115"/>
      <c r="G17" s="101"/>
      <c r="H17" s="115">
        <v>4</v>
      </c>
      <c r="I17" s="117">
        <v>1</v>
      </c>
      <c r="J17" s="151"/>
      <c r="K17" s="101"/>
      <c r="L17" s="72">
        <v>18</v>
      </c>
      <c r="M17" s="151">
        <v>10</v>
      </c>
      <c r="N17" s="101">
        <v>2</v>
      </c>
      <c r="O17" s="151">
        <v>7</v>
      </c>
      <c r="P17" s="101">
        <v>5</v>
      </c>
      <c r="Q17" s="151">
        <v>90</v>
      </c>
      <c r="R17" s="281">
        <v>0</v>
      </c>
      <c r="S17" s="281">
        <v>11</v>
      </c>
      <c r="T17" s="147" t="s">
        <v>34</v>
      </c>
      <c r="U17" s="281">
        <v>0</v>
      </c>
      <c r="V17" s="281">
        <v>0</v>
      </c>
      <c r="W17" s="281">
        <v>13</v>
      </c>
      <c r="X17" s="147">
        <v>90</v>
      </c>
      <c r="Y17" s="147">
        <v>90</v>
      </c>
      <c r="Z17" s="281">
        <v>3</v>
      </c>
      <c r="AA17" s="147">
        <v>90</v>
      </c>
      <c r="AB17" s="281">
        <v>0</v>
      </c>
      <c r="AC17" s="147">
        <v>68</v>
      </c>
      <c r="AD17" s="147">
        <v>90</v>
      </c>
      <c r="AE17" s="147">
        <v>90</v>
      </c>
      <c r="AF17" s="147">
        <v>90</v>
      </c>
      <c r="AG17" s="147">
        <v>90</v>
      </c>
      <c r="AH17" s="101">
        <v>90</v>
      </c>
      <c r="AI17" s="117">
        <f t="shared" si="0"/>
        <v>905</v>
      </c>
      <c r="AJ17" s="51">
        <v>90</v>
      </c>
      <c r="AK17" s="147" t="s">
        <v>34</v>
      </c>
      <c r="AL17" s="198">
        <v>0</v>
      </c>
      <c r="AM17" s="198">
        <v>1</v>
      </c>
      <c r="AN17" s="198">
        <v>0</v>
      </c>
      <c r="AO17" s="198">
        <v>59</v>
      </c>
      <c r="AP17" s="147">
        <v>90</v>
      </c>
      <c r="AQ17" s="198">
        <v>1</v>
      </c>
      <c r="AR17" s="147" t="s">
        <v>34</v>
      </c>
      <c r="AS17" s="147" t="s">
        <v>34</v>
      </c>
      <c r="AT17" s="147" t="s">
        <v>34</v>
      </c>
      <c r="AU17" s="147" t="s">
        <v>34</v>
      </c>
      <c r="AV17" s="147" t="s">
        <v>34</v>
      </c>
      <c r="AW17" s="147" t="s">
        <v>34</v>
      </c>
      <c r="AX17" s="147" t="s">
        <v>34</v>
      </c>
      <c r="AY17" s="147" t="s">
        <v>34</v>
      </c>
      <c r="AZ17" s="147" t="s">
        <v>34</v>
      </c>
      <c r="BA17" s="101" t="s">
        <v>34</v>
      </c>
      <c r="BB17" s="72">
        <f t="shared" si="2"/>
        <v>241</v>
      </c>
      <c r="BC17" s="117">
        <f t="shared" si="1"/>
        <v>1146</v>
      </c>
      <c r="BD17" s="75"/>
      <c r="BE17" s="75"/>
      <c r="BF17" s="75"/>
      <c r="BG17" s="75"/>
      <c r="BH17" s="75"/>
      <c r="BI17" s="75"/>
      <c r="BJ17" s="75"/>
      <c r="BK17" s="75"/>
      <c r="BL17" s="75"/>
    </row>
    <row r="18" spans="1:64" x14ac:dyDescent="0.25">
      <c r="A18" s="28" t="s">
        <v>141</v>
      </c>
      <c r="B18" s="274" t="s">
        <v>595</v>
      </c>
      <c r="C18" s="275" t="s">
        <v>596</v>
      </c>
      <c r="D18" s="151"/>
      <c r="E18" s="208"/>
      <c r="F18" s="115"/>
      <c r="G18" s="101"/>
      <c r="H18" s="115"/>
      <c r="I18" s="117"/>
      <c r="J18" s="151"/>
      <c r="K18" s="101"/>
      <c r="L18" s="72">
        <v>8</v>
      </c>
      <c r="M18" s="151">
        <v>0</v>
      </c>
      <c r="N18" s="101">
        <v>5</v>
      </c>
      <c r="O18" s="151">
        <v>0</v>
      </c>
      <c r="P18" s="101">
        <v>5</v>
      </c>
      <c r="Q18" s="151" t="s">
        <v>34</v>
      </c>
      <c r="R18" s="147" t="s">
        <v>34</v>
      </c>
      <c r="S18" s="147" t="s">
        <v>34</v>
      </c>
      <c r="T18" s="147" t="s">
        <v>34</v>
      </c>
      <c r="U18" s="147" t="s">
        <v>34</v>
      </c>
      <c r="V18" s="147" t="s">
        <v>34</v>
      </c>
      <c r="W18" s="147" t="s">
        <v>34</v>
      </c>
      <c r="X18" s="147" t="s">
        <v>34</v>
      </c>
      <c r="Y18" s="147" t="s">
        <v>34</v>
      </c>
      <c r="Z18" s="147" t="s">
        <v>34</v>
      </c>
      <c r="AA18" s="147" t="s">
        <v>34</v>
      </c>
      <c r="AB18" s="147" t="s">
        <v>34</v>
      </c>
      <c r="AC18" s="147" t="s">
        <v>34</v>
      </c>
      <c r="AD18" s="147" t="s">
        <v>34</v>
      </c>
      <c r="AE18" s="147" t="s">
        <v>34</v>
      </c>
      <c r="AF18" s="147" t="s">
        <v>34</v>
      </c>
      <c r="AG18" s="147" t="s">
        <v>34</v>
      </c>
      <c r="AH18" s="101" t="s">
        <v>34</v>
      </c>
      <c r="AI18" s="117">
        <f t="shared" si="0"/>
        <v>0</v>
      </c>
      <c r="AJ18" s="51" t="s">
        <v>34</v>
      </c>
      <c r="AK18" s="147" t="s">
        <v>34</v>
      </c>
      <c r="AL18" s="147" t="s">
        <v>34</v>
      </c>
      <c r="AM18" s="147" t="s">
        <v>34</v>
      </c>
      <c r="AN18" s="147" t="s">
        <v>34</v>
      </c>
      <c r="AO18" s="147" t="s">
        <v>34</v>
      </c>
      <c r="AP18" s="147" t="s">
        <v>34</v>
      </c>
      <c r="AQ18" s="198">
        <v>0</v>
      </c>
      <c r="AR18" s="198">
        <v>0</v>
      </c>
      <c r="AS18" s="198">
        <v>83</v>
      </c>
      <c r="AT18" s="147">
        <v>57</v>
      </c>
      <c r="AU18" s="147">
        <v>80</v>
      </c>
      <c r="AV18" s="147">
        <v>90</v>
      </c>
      <c r="AW18" s="198">
        <v>24</v>
      </c>
      <c r="AX18" s="198">
        <v>22</v>
      </c>
      <c r="AY18" s="147" t="s">
        <v>34</v>
      </c>
      <c r="AZ18" s="147">
        <v>90</v>
      </c>
      <c r="BA18" s="101">
        <v>64</v>
      </c>
      <c r="BB18" s="72">
        <f t="shared" si="2"/>
        <v>510</v>
      </c>
      <c r="BC18" s="117">
        <f t="shared" si="1"/>
        <v>510</v>
      </c>
      <c r="BD18" s="75"/>
      <c r="BE18" s="75"/>
      <c r="BF18" s="75"/>
      <c r="BG18" s="75"/>
      <c r="BH18" s="75"/>
      <c r="BI18" s="75"/>
      <c r="BJ18" s="75"/>
      <c r="BK18" s="75"/>
      <c r="BL18" s="75"/>
    </row>
    <row r="19" spans="1:64" x14ac:dyDescent="0.25">
      <c r="A19" s="28" t="s">
        <v>141</v>
      </c>
      <c r="B19" s="274" t="s">
        <v>664</v>
      </c>
      <c r="C19" s="275" t="s">
        <v>921</v>
      </c>
      <c r="D19" s="151"/>
      <c r="E19" s="312"/>
      <c r="F19" s="115"/>
      <c r="G19" s="101"/>
      <c r="H19" s="115"/>
      <c r="I19" s="117"/>
      <c r="J19" s="151">
        <v>1</v>
      </c>
      <c r="K19" s="101"/>
      <c r="L19" s="72">
        <v>7</v>
      </c>
      <c r="M19" s="151">
        <v>6</v>
      </c>
      <c r="N19" s="101">
        <v>0</v>
      </c>
      <c r="O19" s="151">
        <v>2</v>
      </c>
      <c r="P19" s="101">
        <v>0</v>
      </c>
      <c r="Q19" s="281">
        <v>0</v>
      </c>
      <c r="R19" s="147">
        <v>90</v>
      </c>
      <c r="S19" s="147">
        <v>90</v>
      </c>
      <c r="T19" s="147">
        <v>90</v>
      </c>
      <c r="U19" s="147">
        <v>90</v>
      </c>
      <c r="V19" s="147">
        <v>81</v>
      </c>
      <c r="W19" s="147" t="s">
        <v>34</v>
      </c>
      <c r="X19" s="281">
        <v>5</v>
      </c>
      <c r="Y19" s="147">
        <v>8</v>
      </c>
      <c r="Z19" s="147" t="s">
        <v>34</v>
      </c>
      <c r="AA19" s="147" t="s">
        <v>34</v>
      </c>
      <c r="AB19" s="147" t="s">
        <v>34</v>
      </c>
      <c r="AC19" s="147" t="s">
        <v>34</v>
      </c>
      <c r="AD19" s="147" t="s">
        <v>34</v>
      </c>
      <c r="AE19" s="147" t="s">
        <v>34</v>
      </c>
      <c r="AF19" s="147" t="s">
        <v>34</v>
      </c>
      <c r="AG19" s="147" t="s">
        <v>34</v>
      </c>
      <c r="AH19" s="101" t="s">
        <v>34</v>
      </c>
      <c r="AI19" s="117">
        <f t="shared" ref="AI19" si="3">SUM(Q19:AH19)</f>
        <v>454</v>
      </c>
      <c r="AJ19" s="51" t="s">
        <v>34</v>
      </c>
      <c r="AK19" s="147" t="s">
        <v>34</v>
      </c>
      <c r="AL19" s="147" t="s">
        <v>34</v>
      </c>
      <c r="AM19" s="147" t="s">
        <v>34</v>
      </c>
      <c r="AN19" s="147" t="s">
        <v>34</v>
      </c>
      <c r="AO19" s="147" t="s">
        <v>34</v>
      </c>
      <c r="AP19" s="147" t="s">
        <v>34</v>
      </c>
      <c r="AQ19" s="147" t="s">
        <v>34</v>
      </c>
      <c r="AR19" s="147" t="s">
        <v>34</v>
      </c>
      <c r="AS19" s="147" t="s">
        <v>34</v>
      </c>
      <c r="AT19" s="147" t="s">
        <v>34</v>
      </c>
      <c r="AU19" s="147" t="s">
        <v>34</v>
      </c>
      <c r="AV19" s="147" t="s">
        <v>34</v>
      </c>
      <c r="AW19" s="147" t="s">
        <v>34</v>
      </c>
      <c r="AX19" s="147" t="s">
        <v>34</v>
      </c>
      <c r="AY19" s="147" t="s">
        <v>34</v>
      </c>
      <c r="AZ19" s="147" t="s">
        <v>34</v>
      </c>
      <c r="BA19" s="101" t="s">
        <v>34</v>
      </c>
      <c r="BB19" s="72">
        <f t="shared" ref="BB19" si="4">SUM(AJ19:BA19)</f>
        <v>0</v>
      </c>
      <c r="BC19" s="117">
        <f t="shared" ref="BC19" si="5">SUM(AI19+BB19)</f>
        <v>454</v>
      </c>
      <c r="BD19" s="75"/>
      <c r="BE19" s="75"/>
      <c r="BF19" s="75"/>
      <c r="BG19" s="75"/>
      <c r="BH19" s="75"/>
      <c r="BI19" s="75"/>
      <c r="BJ19" s="75"/>
      <c r="BK19" s="75"/>
      <c r="BL19" s="75"/>
    </row>
    <row r="20" spans="1:64" x14ac:dyDescent="0.25">
      <c r="A20" s="29" t="s">
        <v>139</v>
      </c>
      <c r="B20" s="274" t="s">
        <v>684</v>
      </c>
      <c r="C20" s="275" t="s">
        <v>487</v>
      </c>
      <c r="D20" s="151"/>
      <c r="E20" s="208"/>
      <c r="F20" s="115"/>
      <c r="G20" s="101"/>
      <c r="H20" s="115"/>
      <c r="I20" s="117"/>
      <c r="J20" s="151"/>
      <c r="K20" s="101"/>
      <c r="L20" s="72">
        <v>3</v>
      </c>
      <c r="M20" s="151">
        <v>0</v>
      </c>
      <c r="N20" s="101">
        <v>0</v>
      </c>
      <c r="O20" s="151">
        <v>4</v>
      </c>
      <c r="P20" s="101">
        <v>0</v>
      </c>
      <c r="Q20" s="151" t="s">
        <v>34</v>
      </c>
      <c r="R20" s="147" t="s">
        <v>34</v>
      </c>
      <c r="S20" s="281">
        <v>0</v>
      </c>
      <c r="T20" s="147" t="s">
        <v>34</v>
      </c>
      <c r="U20" s="147" t="s">
        <v>34</v>
      </c>
      <c r="V20" s="147" t="s">
        <v>34</v>
      </c>
      <c r="W20" s="147" t="s">
        <v>34</v>
      </c>
      <c r="X20" s="147" t="s">
        <v>34</v>
      </c>
      <c r="Y20" s="147" t="s">
        <v>34</v>
      </c>
      <c r="Z20" s="281">
        <v>6</v>
      </c>
      <c r="AA20" s="281">
        <v>10</v>
      </c>
      <c r="AB20" s="281">
        <v>9</v>
      </c>
      <c r="AC20" s="147" t="s">
        <v>34</v>
      </c>
      <c r="AD20" s="147" t="s">
        <v>34</v>
      </c>
      <c r="AE20" s="147" t="s">
        <v>34</v>
      </c>
      <c r="AF20" s="147" t="s">
        <v>34</v>
      </c>
      <c r="AG20" s="147" t="s">
        <v>34</v>
      </c>
      <c r="AH20" s="101" t="s">
        <v>34</v>
      </c>
      <c r="AI20" s="117">
        <f t="shared" si="0"/>
        <v>25</v>
      </c>
      <c r="AJ20" s="51" t="s">
        <v>34</v>
      </c>
      <c r="AK20" s="147" t="s">
        <v>34</v>
      </c>
      <c r="AL20" s="147" t="s">
        <v>34</v>
      </c>
      <c r="AM20" s="147" t="s">
        <v>34</v>
      </c>
      <c r="AN20" s="147" t="s">
        <v>34</v>
      </c>
      <c r="AO20" s="147" t="s">
        <v>34</v>
      </c>
      <c r="AP20" s="147" t="s">
        <v>34</v>
      </c>
      <c r="AQ20" s="147" t="s">
        <v>34</v>
      </c>
      <c r="AR20" s="147" t="s">
        <v>34</v>
      </c>
      <c r="AS20" s="147" t="s">
        <v>34</v>
      </c>
      <c r="AT20" s="147" t="s">
        <v>34</v>
      </c>
      <c r="AU20" s="147" t="s">
        <v>34</v>
      </c>
      <c r="AV20" s="147" t="s">
        <v>34</v>
      </c>
      <c r="AW20" s="147" t="s">
        <v>34</v>
      </c>
      <c r="AX20" s="147" t="s">
        <v>34</v>
      </c>
      <c r="AY20" s="147" t="s">
        <v>34</v>
      </c>
      <c r="AZ20" s="147" t="s">
        <v>34</v>
      </c>
      <c r="BA20" s="101" t="s">
        <v>34</v>
      </c>
      <c r="BB20" s="72">
        <f t="shared" si="2"/>
        <v>0</v>
      </c>
      <c r="BC20" s="117">
        <f t="shared" si="1"/>
        <v>25</v>
      </c>
      <c r="BD20" s="75"/>
      <c r="BE20" s="75"/>
      <c r="BF20" s="75"/>
      <c r="BG20" s="75"/>
      <c r="BH20" s="75"/>
      <c r="BI20" s="75"/>
      <c r="BJ20" s="75"/>
      <c r="BK20" s="75"/>
      <c r="BL20" s="75"/>
    </row>
    <row r="21" spans="1:64" x14ac:dyDescent="0.25">
      <c r="A21" s="29" t="s">
        <v>139</v>
      </c>
      <c r="B21" s="274" t="s">
        <v>582</v>
      </c>
      <c r="C21" s="275" t="s">
        <v>583</v>
      </c>
      <c r="D21" s="151">
        <v>1</v>
      </c>
      <c r="E21" s="313"/>
      <c r="F21" s="115"/>
      <c r="G21" s="101"/>
      <c r="H21" s="115">
        <v>1</v>
      </c>
      <c r="I21" s="117">
        <v>3</v>
      </c>
      <c r="J21" s="151">
        <v>1</v>
      </c>
      <c r="K21" s="101"/>
      <c r="L21" s="72">
        <v>26</v>
      </c>
      <c r="M21" s="151">
        <v>7</v>
      </c>
      <c r="N21" s="101">
        <v>9</v>
      </c>
      <c r="O21" s="151">
        <v>7</v>
      </c>
      <c r="P21" s="101">
        <v>5</v>
      </c>
      <c r="Q21" s="151">
        <v>90</v>
      </c>
      <c r="R21" s="147">
        <v>84</v>
      </c>
      <c r="S21" s="147">
        <v>84</v>
      </c>
      <c r="T21" s="147">
        <v>90</v>
      </c>
      <c r="U21" s="147">
        <v>90</v>
      </c>
      <c r="V21" s="147">
        <v>90</v>
      </c>
      <c r="W21" s="147">
        <v>90</v>
      </c>
      <c r="X21" s="147" t="s">
        <v>34</v>
      </c>
      <c r="Y21" s="147" t="s">
        <v>34</v>
      </c>
      <c r="Z21" s="147" t="s">
        <v>34</v>
      </c>
      <c r="AA21" s="281">
        <v>0</v>
      </c>
      <c r="AB21" s="147" t="s">
        <v>34</v>
      </c>
      <c r="AC21" s="281">
        <v>22</v>
      </c>
      <c r="AD21" s="281">
        <v>0</v>
      </c>
      <c r="AE21" s="281">
        <v>20</v>
      </c>
      <c r="AF21" s="281">
        <v>27</v>
      </c>
      <c r="AG21" s="281">
        <v>14</v>
      </c>
      <c r="AH21" s="289">
        <v>7</v>
      </c>
      <c r="AI21" s="117">
        <f t="shared" si="0"/>
        <v>708</v>
      </c>
      <c r="AJ21" s="195">
        <v>45</v>
      </c>
      <c r="AK21" s="198">
        <v>40</v>
      </c>
      <c r="AL21" s="147">
        <v>89</v>
      </c>
      <c r="AM21" s="147">
        <v>90</v>
      </c>
      <c r="AN21" s="147">
        <v>90</v>
      </c>
      <c r="AO21" s="147">
        <v>85</v>
      </c>
      <c r="AP21" s="147">
        <v>90</v>
      </c>
      <c r="AQ21" s="147">
        <v>90</v>
      </c>
      <c r="AR21" s="147">
        <v>63</v>
      </c>
      <c r="AS21" s="147">
        <v>90</v>
      </c>
      <c r="AT21" s="147" t="s">
        <v>34</v>
      </c>
      <c r="AU21" s="147" t="s">
        <v>34</v>
      </c>
      <c r="AV21" s="147" t="s">
        <v>34</v>
      </c>
      <c r="AW21" s="147" t="s">
        <v>34</v>
      </c>
      <c r="AX21" s="198">
        <v>11</v>
      </c>
      <c r="AY21" s="198">
        <v>39</v>
      </c>
      <c r="AZ21" s="198">
        <v>20</v>
      </c>
      <c r="BA21" s="101">
        <v>70</v>
      </c>
      <c r="BB21" s="72">
        <f t="shared" si="2"/>
        <v>912</v>
      </c>
      <c r="BC21" s="117">
        <f t="shared" si="1"/>
        <v>1620</v>
      </c>
      <c r="BD21" s="75"/>
      <c r="BE21" s="75"/>
      <c r="BF21" s="75"/>
      <c r="BG21" s="75"/>
      <c r="BH21" s="75"/>
      <c r="BI21" s="75"/>
      <c r="BJ21" s="75"/>
      <c r="BK21" s="75"/>
      <c r="BL21" s="75"/>
    </row>
    <row r="22" spans="1:64" x14ac:dyDescent="0.25">
      <c r="A22" s="29" t="s">
        <v>139</v>
      </c>
      <c r="B22" s="274" t="s">
        <v>693</v>
      </c>
      <c r="C22" s="275" t="s">
        <v>694</v>
      </c>
      <c r="D22" s="151"/>
      <c r="E22" s="208"/>
      <c r="F22" s="115"/>
      <c r="G22" s="101"/>
      <c r="H22" s="115"/>
      <c r="I22" s="117"/>
      <c r="J22" s="151"/>
      <c r="K22" s="101"/>
      <c r="L22" s="72">
        <v>6</v>
      </c>
      <c r="M22" s="151">
        <v>0</v>
      </c>
      <c r="N22" s="101">
        <v>1</v>
      </c>
      <c r="O22" s="151">
        <v>1</v>
      </c>
      <c r="P22" s="101">
        <v>7</v>
      </c>
      <c r="Q22" s="151" t="s">
        <v>34</v>
      </c>
      <c r="R22" s="147" t="s">
        <v>34</v>
      </c>
      <c r="S22" s="147" t="s">
        <v>34</v>
      </c>
      <c r="T22" s="147" t="s">
        <v>34</v>
      </c>
      <c r="U22" s="147" t="s">
        <v>34</v>
      </c>
      <c r="V22" s="147" t="s">
        <v>34</v>
      </c>
      <c r="W22" s="147" t="s">
        <v>34</v>
      </c>
      <c r="X22" s="147" t="s">
        <v>34</v>
      </c>
      <c r="Y22" s="147" t="s">
        <v>34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147" t="s">
        <v>34</v>
      </c>
      <c r="AE22" s="147" t="s">
        <v>34</v>
      </c>
      <c r="AF22" s="147" t="s">
        <v>34</v>
      </c>
      <c r="AG22" s="147" t="s">
        <v>34</v>
      </c>
      <c r="AH22" s="289">
        <v>7</v>
      </c>
      <c r="AI22" s="117">
        <f t="shared" si="0"/>
        <v>7</v>
      </c>
      <c r="AJ22" s="195">
        <v>14</v>
      </c>
      <c r="AK22" s="147" t="s">
        <v>34</v>
      </c>
      <c r="AL22" s="198">
        <v>1</v>
      </c>
      <c r="AM22" s="198">
        <v>0</v>
      </c>
      <c r="AN22" s="147" t="s">
        <v>34</v>
      </c>
      <c r="AO22" s="147" t="s">
        <v>34</v>
      </c>
      <c r="AP22" s="147" t="s">
        <v>34</v>
      </c>
      <c r="AQ22" s="147" t="s">
        <v>34</v>
      </c>
      <c r="AR22" s="147" t="s">
        <v>34</v>
      </c>
      <c r="AS22" s="147" t="s">
        <v>34</v>
      </c>
      <c r="AT22" s="147" t="s">
        <v>34</v>
      </c>
      <c r="AU22" s="198">
        <v>3</v>
      </c>
      <c r="AV22" s="198">
        <v>4</v>
      </c>
      <c r="AW22" s="147">
        <v>66</v>
      </c>
      <c r="AX22" s="198">
        <v>0</v>
      </c>
      <c r="AY22" s="147" t="s">
        <v>34</v>
      </c>
      <c r="AZ22" s="147" t="s">
        <v>34</v>
      </c>
      <c r="BA22" s="198">
        <v>0</v>
      </c>
      <c r="BB22" s="72">
        <f t="shared" si="2"/>
        <v>88</v>
      </c>
      <c r="BC22" s="117">
        <f t="shared" si="1"/>
        <v>95</v>
      </c>
      <c r="BD22" s="75"/>
      <c r="BE22" s="75"/>
      <c r="BF22" s="75"/>
      <c r="BG22" s="75"/>
      <c r="BH22" s="75"/>
      <c r="BI22" s="75"/>
      <c r="BJ22" s="75"/>
      <c r="BK22" s="75"/>
      <c r="BL22" s="75"/>
    </row>
    <row r="23" spans="1:64" x14ac:dyDescent="0.25">
      <c r="A23" s="29" t="s">
        <v>139</v>
      </c>
      <c r="B23" s="274" t="s">
        <v>669</v>
      </c>
      <c r="C23" s="275" t="s">
        <v>924</v>
      </c>
      <c r="D23" s="151">
        <v>1</v>
      </c>
      <c r="E23" s="312">
        <v>3</v>
      </c>
      <c r="F23" s="115"/>
      <c r="G23" s="101"/>
      <c r="H23" s="115">
        <v>1</v>
      </c>
      <c r="I23" s="117">
        <v>5</v>
      </c>
      <c r="J23" s="151">
        <v>1</v>
      </c>
      <c r="K23" s="101"/>
      <c r="L23" s="72">
        <v>30</v>
      </c>
      <c r="M23" s="151">
        <v>5</v>
      </c>
      <c r="N23" s="101">
        <v>16</v>
      </c>
      <c r="O23" s="151">
        <v>10</v>
      </c>
      <c r="P23" s="101">
        <v>1</v>
      </c>
      <c r="Q23" s="281">
        <v>16</v>
      </c>
      <c r="R23" s="281">
        <v>6</v>
      </c>
      <c r="S23" s="281">
        <v>26</v>
      </c>
      <c r="T23" s="281">
        <v>0</v>
      </c>
      <c r="U23" s="281">
        <v>25</v>
      </c>
      <c r="V23" s="147" t="s">
        <v>34</v>
      </c>
      <c r="W23" s="147" t="s">
        <v>34</v>
      </c>
      <c r="X23" s="281">
        <v>28</v>
      </c>
      <c r="Y23" s="147" t="s">
        <v>34</v>
      </c>
      <c r="Z23" s="281">
        <v>17</v>
      </c>
      <c r="AA23" s="281">
        <v>0</v>
      </c>
      <c r="AB23" s="281">
        <v>5</v>
      </c>
      <c r="AC23" s="281">
        <v>10</v>
      </c>
      <c r="AD23" s="147">
        <v>90</v>
      </c>
      <c r="AE23" s="147">
        <v>90</v>
      </c>
      <c r="AF23" s="147">
        <v>72</v>
      </c>
      <c r="AG23" s="147">
        <v>90</v>
      </c>
      <c r="AH23" s="101">
        <v>90</v>
      </c>
      <c r="AI23" s="117">
        <f t="shared" si="0"/>
        <v>565</v>
      </c>
      <c r="AJ23" s="51">
        <v>90</v>
      </c>
      <c r="AK23" s="147">
        <v>90</v>
      </c>
      <c r="AL23" s="147">
        <v>78</v>
      </c>
      <c r="AM23" s="147">
        <v>90</v>
      </c>
      <c r="AN23" s="147">
        <v>21</v>
      </c>
      <c r="AO23" s="147">
        <v>82</v>
      </c>
      <c r="AP23" s="147">
        <v>90</v>
      </c>
      <c r="AQ23" s="147">
        <v>64</v>
      </c>
      <c r="AR23" s="147">
        <v>63</v>
      </c>
      <c r="AS23" s="147">
        <v>73</v>
      </c>
      <c r="AT23" s="147">
        <v>90</v>
      </c>
      <c r="AU23" s="147">
        <v>90</v>
      </c>
      <c r="AV23" s="147">
        <v>78</v>
      </c>
      <c r="AW23" s="147" t="s">
        <v>34</v>
      </c>
      <c r="AX23" s="147">
        <v>79</v>
      </c>
      <c r="AY23" s="147">
        <v>82</v>
      </c>
      <c r="AZ23" s="147">
        <v>70</v>
      </c>
      <c r="BA23" s="198">
        <v>20</v>
      </c>
      <c r="BB23" s="72">
        <f t="shared" si="2"/>
        <v>1250</v>
      </c>
      <c r="BC23" s="117">
        <f t="shared" si="1"/>
        <v>1815</v>
      </c>
      <c r="BD23" s="75"/>
      <c r="BE23" s="75"/>
      <c r="BF23" s="75"/>
      <c r="BG23" s="75"/>
      <c r="BH23" s="75"/>
      <c r="BI23" s="75"/>
      <c r="BJ23" s="75"/>
      <c r="BK23" s="75"/>
      <c r="BL23" s="75"/>
    </row>
    <row r="24" spans="1:64" x14ac:dyDescent="0.25">
      <c r="A24" s="29" t="s">
        <v>139</v>
      </c>
      <c r="B24" s="274" t="s">
        <v>695</v>
      </c>
      <c r="C24" s="275" t="s">
        <v>696</v>
      </c>
      <c r="D24" s="151"/>
      <c r="E24" s="312"/>
      <c r="F24" s="115"/>
      <c r="G24" s="101"/>
      <c r="H24" s="115"/>
      <c r="I24" s="117"/>
      <c r="J24" s="151"/>
      <c r="K24" s="101"/>
      <c r="L24" s="72">
        <v>1</v>
      </c>
      <c r="M24" s="151">
        <v>0</v>
      </c>
      <c r="N24" s="101">
        <v>0</v>
      </c>
      <c r="O24" s="151">
        <v>0</v>
      </c>
      <c r="P24" s="101">
        <v>1</v>
      </c>
      <c r="Q24" s="151" t="s">
        <v>34</v>
      </c>
      <c r="R24" s="147" t="s">
        <v>34</v>
      </c>
      <c r="S24" s="147" t="s">
        <v>34</v>
      </c>
      <c r="T24" s="147" t="s">
        <v>34</v>
      </c>
      <c r="U24" s="147" t="s">
        <v>34</v>
      </c>
      <c r="V24" s="147" t="s">
        <v>34</v>
      </c>
      <c r="W24" s="147" t="s">
        <v>34</v>
      </c>
      <c r="X24" s="147" t="s">
        <v>34</v>
      </c>
      <c r="Y24" s="147" t="s">
        <v>34</v>
      </c>
      <c r="Z24" s="147" t="s">
        <v>34</v>
      </c>
      <c r="AA24" s="147" t="s">
        <v>34</v>
      </c>
      <c r="AB24" s="147" t="s">
        <v>34</v>
      </c>
      <c r="AC24" s="147" t="s">
        <v>34</v>
      </c>
      <c r="AD24" s="147" t="s">
        <v>34</v>
      </c>
      <c r="AE24" s="147" t="s">
        <v>34</v>
      </c>
      <c r="AF24" s="147" t="s">
        <v>34</v>
      </c>
      <c r="AG24" s="147" t="s">
        <v>34</v>
      </c>
      <c r="AH24" s="101" t="s">
        <v>34</v>
      </c>
      <c r="AI24" s="117">
        <f t="shared" si="0"/>
        <v>0</v>
      </c>
      <c r="AJ24" s="51" t="s">
        <v>34</v>
      </c>
      <c r="AK24" s="147" t="s">
        <v>34</v>
      </c>
      <c r="AL24" s="147" t="s">
        <v>34</v>
      </c>
      <c r="AM24" s="147" t="s">
        <v>34</v>
      </c>
      <c r="AN24" s="147" t="s">
        <v>34</v>
      </c>
      <c r="AO24" s="147" t="s">
        <v>34</v>
      </c>
      <c r="AP24" s="147" t="s">
        <v>34</v>
      </c>
      <c r="AQ24" s="147" t="s">
        <v>34</v>
      </c>
      <c r="AR24" s="147" t="s">
        <v>34</v>
      </c>
      <c r="AS24" s="147" t="s">
        <v>34</v>
      </c>
      <c r="AT24" s="147" t="s">
        <v>34</v>
      </c>
      <c r="AU24" s="147" t="s">
        <v>34</v>
      </c>
      <c r="AV24" s="147" t="s">
        <v>34</v>
      </c>
      <c r="AW24" s="147" t="s">
        <v>34</v>
      </c>
      <c r="AX24" s="147" t="s">
        <v>34</v>
      </c>
      <c r="AY24" s="147" t="s">
        <v>34</v>
      </c>
      <c r="AZ24" s="147" t="s">
        <v>34</v>
      </c>
      <c r="BA24" s="198">
        <v>3</v>
      </c>
      <c r="BB24" s="72">
        <f t="shared" si="2"/>
        <v>3</v>
      </c>
      <c r="BC24" s="117">
        <f t="shared" si="1"/>
        <v>3</v>
      </c>
      <c r="BD24" s="75"/>
      <c r="BE24" s="75"/>
      <c r="BF24" s="75"/>
      <c r="BG24" s="75"/>
      <c r="BH24" s="75"/>
      <c r="BI24" s="75"/>
      <c r="BJ24" s="75"/>
      <c r="BK24" s="75"/>
      <c r="BL24" s="75"/>
    </row>
    <row r="25" spans="1:64" x14ac:dyDescent="0.25">
      <c r="A25" s="29" t="s">
        <v>139</v>
      </c>
      <c r="B25" s="274" t="s">
        <v>599</v>
      </c>
      <c r="C25" s="275" t="s">
        <v>925</v>
      </c>
      <c r="D25" s="151">
        <v>1</v>
      </c>
      <c r="E25" s="312">
        <v>1</v>
      </c>
      <c r="F25" s="115"/>
      <c r="G25" s="101"/>
      <c r="H25" s="115">
        <v>2</v>
      </c>
      <c r="I25" s="117"/>
      <c r="J25" s="151"/>
      <c r="K25" s="101">
        <v>1</v>
      </c>
      <c r="L25" s="72">
        <v>27</v>
      </c>
      <c r="M25" s="151">
        <v>11</v>
      </c>
      <c r="N25" s="101">
        <v>6</v>
      </c>
      <c r="O25" s="151">
        <v>4</v>
      </c>
      <c r="P25" s="101">
        <v>9</v>
      </c>
      <c r="Q25" s="151">
        <v>60</v>
      </c>
      <c r="R25" s="147">
        <v>90</v>
      </c>
      <c r="S25" s="147">
        <v>64</v>
      </c>
      <c r="T25" s="147" t="s">
        <v>34</v>
      </c>
      <c r="U25" s="281">
        <v>6</v>
      </c>
      <c r="V25" s="281">
        <v>31</v>
      </c>
      <c r="W25" s="147" t="s">
        <v>34</v>
      </c>
      <c r="X25" s="281">
        <v>0</v>
      </c>
      <c r="Y25" s="147" t="s">
        <v>34</v>
      </c>
      <c r="Z25" s="281">
        <v>0</v>
      </c>
      <c r="AA25" s="147">
        <v>90</v>
      </c>
      <c r="AB25" s="147">
        <v>85</v>
      </c>
      <c r="AC25" s="147">
        <v>68</v>
      </c>
      <c r="AD25" s="147">
        <v>77</v>
      </c>
      <c r="AE25" s="147">
        <v>60</v>
      </c>
      <c r="AF25" s="147">
        <v>63</v>
      </c>
      <c r="AG25" s="147">
        <v>66</v>
      </c>
      <c r="AH25" s="101">
        <v>83</v>
      </c>
      <c r="AI25" s="117">
        <f t="shared" si="0"/>
        <v>843</v>
      </c>
      <c r="AJ25" s="51">
        <v>45</v>
      </c>
      <c r="AK25" s="147">
        <v>90</v>
      </c>
      <c r="AL25" s="147" t="s">
        <v>34</v>
      </c>
      <c r="AM25" s="147" t="s">
        <v>34</v>
      </c>
      <c r="AN25" s="147">
        <v>80</v>
      </c>
      <c r="AO25" s="198">
        <v>8</v>
      </c>
      <c r="AP25" s="198">
        <v>0</v>
      </c>
      <c r="AQ25" s="198">
        <v>26</v>
      </c>
      <c r="AR25" s="198">
        <v>20</v>
      </c>
      <c r="AS25" s="198">
        <v>17</v>
      </c>
      <c r="AT25" s="198">
        <v>45</v>
      </c>
      <c r="AU25" s="147">
        <v>87</v>
      </c>
      <c r="AV25" s="147" t="s">
        <v>34</v>
      </c>
      <c r="AW25" s="198">
        <v>24</v>
      </c>
      <c r="AX25" s="147">
        <v>90</v>
      </c>
      <c r="AY25" s="198">
        <v>32</v>
      </c>
      <c r="AZ25" s="147">
        <v>70</v>
      </c>
      <c r="BA25" s="198">
        <v>26</v>
      </c>
      <c r="BB25" s="72">
        <f t="shared" si="2"/>
        <v>660</v>
      </c>
      <c r="BC25" s="117">
        <f t="shared" si="1"/>
        <v>1503</v>
      </c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64" x14ac:dyDescent="0.25">
      <c r="A26" s="29" t="s">
        <v>139</v>
      </c>
      <c r="B26" s="274" t="s">
        <v>493</v>
      </c>
      <c r="C26" s="275" t="s">
        <v>929</v>
      </c>
      <c r="D26" s="151"/>
      <c r="E26" s="312">
        <v>1</v>
      </c>
      <c r="F26" s="115"/>
      <c r="G26" s="101"/>
      <c r="H26" s="115"/>
      <c r="I26" s="117">
        <v>2</v>
      </c>
      <c r="J26" s="151"/>
      <c r="K26" s="101"/>
      <c r="L26" s="72">
        <v>6</v>
      </c>
      <c r="M26" s="151">
        <v>0</v>
      </c>
      <c r="N26" s="101">
        <v>6</v>
      </c>
      <c r="O26" s="151">
        <v>0</v>
      </c>
      <c r="P26" s="101">
        <v>0</v>
      </c>
      <c r="Q26" s="151" t="s">
        <v>34</v>
      </c>
      <c r="R26" s="151" t="s">
        <v>34</v>
      </c>
      <c r="S26" s="151" t="s">
        <v>34</v>
      </c>
      <c r="T26" s="151" t="s">
        <v>34</v>
      </c>
      <c r="U26" s="151" t="s">
        <v>34</v>
      </c>
      <c r="V26" s="151" t="s">
        <v>34</v>
      </c>
      <c r="W26" s="151" t="s">
        <v>34</v>
      </c>
      <c r="X26" s="151" t="s">
        <v>34</v>
      </c>
      <c r="Y26" s="151" t="s">
        <v>34</v>
      </c>
      <c r="Z26" s="151" t="s">
        <v>34</v>
      </c>
      <c r="AA26" s="151" t="s">
        <v>34</v>
      </c>
      <c r="AB26" s="151" t="s">
        <v>34</v>
      </c>
      <c r="AC26" s="151" t="s">
        <v>34</v>
      </c>
      <c r="AD26" s="151" t="s">
        <v>34</v>
      </c>
      <c r="AE26" s="151" t="s">
        <v>34</v>
      </c>
      <c r="AF26" s="151" t="s">
        <v>34</v>
      </c>
      <c r="AG26" s="151" t="s">
        <v>34</v>
      </c>
      <c r="AH26" s="101" t="s">
        <v>34</v>
      </c>
      <c r="AI26" s="117">
        <f t="shared" si="0"/>
        <v>0</v>
      </c>
      <c r="AJ26" s="51" t="s">
        <v>34</v>
      </c>
      <c r="AK26" s="147" t="s">
        <v>34</v>
      </c>
      <c r="AL26" s="147" t="s">
        <v>34</v>
      </c>
      <c r="AM26" s="147" t="s">
        <v>34</v>
      </c>
      <c r="AN26" s="147" t="s">
        <v>34</v>
      </c>
      <c r="AO26" s="147" t="s">
        <v>34</v>
      </c>
      <c r="AP26" s="147" t="s">
        <v>34</v>
      </c>
      <c r="AQ26" s="147" t="s">
        <v>34</v>
      </c>
      <c r="AR26" s="147" t="s">
        <v>34</v>
      </c>
      <c r="AS26" s="147" t="s">
        <v>34</v>
      </c>
      <c r="AT26" s="147" t="s">
        <v>34</v>
      </c>
      <c r="AU26" s="147" t="s">
        <v>34</v>
      </c>
      <c r="AV26" s="147">
        <v>86</v>
      </c>
      <c r="AW26" s="147">
        <v>90</v>
      </c>
      <c r="AX26" s="147">
        <v>90</v>
      </c>
      <c r="AY26" s="147">
        <v>51</v>
      </c>
      <c r="AZ26" s="147">
        <v>90</v>
      </c>
      <c r="BA26" s="101">
        <v>90</v>
      </c>
      <c r="BB26" s="72">
        <f t="shared" si="2"/>
        <v>497</v>
      </c>
      <c r="BC26" s="117">
        <f t="shared" si="1"/>
        <v>497</v>
      </c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64" x14ac:dyDescent="0.25">
      <c r="A27" s="29" t="s">
        <v>139</v>
      </c>
      <c r="B27" s="274" t="s">
        <v>600</v>
      </c>
      <c r="C27" s="275" t="s">
        <v>935</v>
      </c>
      <c r="D27" s="151"/>
      <c r="E27" s="312">
        <v>2</v>
      </c>
      <c r="F27" s="115"/>
      <c r="G27" s="101"/>
      <c r="H27" s="115"/>
      <c r="I27" s="117">
        <v>1</v>
      </c>
      <c r="J27" s="151"/>
      <c r="K27" s="101"/>
      <c r="L27" s="72">
        <v>14</v>
      </c>
      <c r="M27" s="151">
        <v>0</v>
      </c>
      <c r="N27" s="101">
        <v>5</v>
      </c>
      <c r="O27" s="151">
        <v>0</v>
      </c>
      <c r="P27" s="101">
        <v>10</v>
      </c>
      <c r="Q27" s="151" t="s">
        <v>34</v>
      </c>
      <c r="R27" s="151" t="s">
        <v>34</v>
      </c>
      <c r="S27" s="151" t="s">
        <v>34</v>
      </c>
      <c r="T27" s="151" t="s">
        <v>34</v>
      </c>
      <c r="U27" s="151" t="s">
        <v>34</v>
      </c>
      <c r="V27" s="151" t="s">
        <v>34</v>
      </c>
      <c r="W27" s="151" t="s">
        <v>34</v>
      </c>
      <c r="X27" s="151" t="s">
        <v>34</v>
      </c>
      <c r="Y27" s="151" t="s">
        <v>34</v>
      </c>
      <c r="Z27" s="151" t="s">
        <v>34</v>
      </c>
      <c r="AA27" s="151" t="s">
        <v>34</v>
      </c>
      <c r="AB27" s="151" t="s">
        <v>34</v>
      </c>
      <c r="AC27" s="151" t="s">
        <v>34</v>
      </c>
      <c r="AD27" s="151" t="s">
        <v>34</v>
      </c>
      <c r="AE27" s="151" t="s">
        <v>34</v>
      </c>
      <c r="AF27" s="151" t="s">
        <v>34</v>
      </c>
      <c r="AG27" s="151" t="s">
        <v>34</v>
      </c>
      <c r="AH27" s="101" t="s">
        <v>34</v>
      </c>
      <c r="AI27" s="117">
        <f t="shared" si="0"/>
        <v>0</v>
      </c>
      <c r="AJ27" s="51" t="s">
        <v>34</v>
      </c>
      <c r="AK27" s="198">
        <v>10</v>
      </c>
      <c r="AL27" s="198">
        <v>12</v>
      </c>
      <c r="AM27" s="198">
        <v>13</v>
      </c>
      <c r="AN27" s="198">
        <v>5</v>
      </c>
      <c r="AO27" s="198">
        <v>5</v>
      </c>
      <c r="AP27" s="198">
        <v>0</v>
      </c>
      <c r="AQ27" s="198">
        <v>1</v>
      </c>
      <c r="AR27" s="198">
        <v>15</v>
      </c>
      <c r="AS27" s="147" t="s">
        <v>34</v>
      </c>
      <c r="AT27" s="198">
        <v>6</v>
      </c>
      <c r="AU27" s="198">
        <v>20</v>
      </c>
      <c r="AV27" s="147">
        <v>86</v>
      </c>
      <c r="AW27" s="147">
        <v>90</v>
      </c>
      <c r="AX27" s="147">
        <v>90</v>
      </c>
      <c r="AY27" s="147">
        <v>51</v>
      </c>
      <c r="AZ27" s="147">
        <v>60</v>
      </c>
      <c r="BA27" s="101" t="s">
        <v>34</v>
      </c>
      <c r="BB27" s="72">
        <f t="shared" si="2"/>
        <v>464</v>
      </c>
      <c r="BC27" s="117">
        <f t="shared" si="1"/>
        <v>464</v>
      </c>
      <c r="BD27" s="75"/>
      <c r="BE27" s="75"/>
      <c r="BF27" s="75"/>
      <c r="BG27" s="75"/>
      <c r="BH27" s="75"/>
      <c r="BI27" s="75"/>
      <c r="BJ27" s="75"/>
      <c r="BK27" s="75"/>
      <c r="BL27" s="75"/>
    </row>
    <row r="28" spans="1:64" x14ac:dyDescent="0.25">
      <c r="A28" s="29" t="s">
        <v>139</v>
      </c>
      <c r="B28" s="274" t="s">
        <v>670</v>
      </c>
      <c r="C28" s="275" t="s">
        <v>936</v>
      </c>
      <c r="D28" s="151"/>
      <c r="E28" s="312">
        <v>1</v>
      </c>
      <c r="F28" s="115"/>
      <c r="G28" s="101"/>
      <c r="H28" s="115">
        <v>3</v>
      </c>
      <c r="I28" s="117">
        <v>5</v>
      </c>
      <c r="J28" s="151">
        <v>1</v>
      </c>
      <c r="K28" s="101">
        <v>1</v>
      </c>
      <c r="L28" s="72">
        <v>30</v>
      </c>
      <c r="M28" s="151">
        <v>9</v>
      </c>
      <c r="N28" s="101">
        <v>12</v>
      </c>
      <c r="O28" s="151">
        <v>6</v>
      </c>
      <c r="P28" s="101">
        <v>3</v>
      </c>
      <c r="Q28" s="281">
        <v>30</v>
      </c>
      <c r="R28" s="147">
        <v>90</v>
      </c>
      <c r="S28" s="147">
        <v>79</v>
      </c>
      <c r="T28" s="147">
        <v>90</v>
      </c>
      <c r="U28" s="147">
        <v>90</v>
      </c>
      <c r="V28" s="147">
        <v>85</v>
      </c>
      <c r="W28" s="147">
        <v>60</v>
      </c>
      <c r="X28" s="147" t="s">
        <v>34</v>
      </c>
      <c r="Y28" s="147">
        <v>69</v>
      </c>
      <c r="Z28" s="147">
        <v>90</v>
      </c>
      <c r="AA28" s="147" t="s">
        <v>34</v>
      </c>
      <c r="AB28" s="147">
        <v>90</v>
      </c>
      <c r="AC28" s="281">
        <v>22</v>
      </c>
      <c r="AD28" s="147" t="s">
        <v>34</v>
      </c>
      <c r="AE28" s="281">
        <v>30</v>
      </c>
      <c r="AF28" s="281">
        <v>18</v>
      </c>
      <c r="AG28" s="281">
        <v>24</v>
      </c>
      <c r="AH28" s="289">
        <v>7</v>
      </c>
      <c r="AI28" s="117">
        <f t="shared" si="0"/>
        <v>874</v>
      </c>
      <c r="AJ28" s="195">
        <v>14</v>
      </c>
      <c r="AK28" s="198">
        <v>33</v>
      </c>
      <c r="AL28" s="147">
        <v>90</v>
      </c>
      <c r="AM28" s="147">
        <v>77</v>
      </c>
      <c r="AN28" s="147">
        <v>90</v>
      </c>
      <c r="AO28" s="147">
        <v>90</v>
      </c>
      <c r="AP28" s="147">
        <v>90</v>
      </c>
      <c r="AQ28" s="147">
        <v>90</v>
      </c>
      <c r="AR28" s="147">
        <v>75</v>
      </c>
      <c r="AS28" s="147">
        <v>45</v>
      </c>
      <c r="AT28" s="147">
        <v>90</v>
      </c>
      <c r="AU28" s="147" t="s">
        <v>34</v>
      </c>
      <c r="AV28" s="147" t="s">
        <v>34</v>
      </c>
      <c r="AW28" s="147">
        <v>90</v>
      </c>
      <c r="AX28" s="147" t="s">
        <v>34</v>
      </c>
      <c r="AY28" s="198">
        <v>45</v>
      </c>
      <c r="AZ28" s="147">
        <v>90</v>
      </c>
      <c r="BA28" s="101">
        <v>64</v>
      </c>
      <c r="BB28" s="72">
        <f t="shared" si="2"/>
        <v>1073</v>
      </c>
      <c r="BC28" s="117">
        <f t="shared" si="1"/>
        <v>1947</v>
      </c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64" x14ac:dyDescent="0.25">
      <c r="A29" s="29" t="s">
        <v>139</v>
      </c>
      <c r="B29" s="274" t="s">
        <v>486</v>
      </c>
      <c r="C29" s="275" t="s">
        <v>938</v>
      </c>
      <c r="D29" s="151"/>
      <c r="E29" s="312">
        <v>3</v>
      </c>
      <c r="F29" s="115"/>
      <c r="G29" s="101"/>
      <c r="H29" s="115">
        <v>3</v>
      </c>
      <c r="I29" s="117">
        <v>2</v>
      </c>
      <c r="J29" s="151"/>
      <c r="K29" s="101">
        <v>2</v>
      </c>
      <c r="L29" s="72">
        <v>31</v>
      </c>
      <c r="M29" s="151">
        <v>16</v>
      </c>
      <c r="N29" s="101">
        <v>15</v>
      </c>
      <c r="O29" s="151">
        <v>1</v>
      </c>
      <c r="P29" s="101">
        <v>0</v>
      </c>
      <c r="Q29" s="151">
        <v>90</v>
      </c>
      <c r="R29" s="147">
        <v>90</v>
      </c>
      <c r="S29" s="147">
        <v>90</v>
      </c>
      <c r="T29" s="147">
        <v>90</v>
      </c>
      <c r="U29" s="147">
        <v>84</v>
      </c>
      <c r="V29" s="147">
        <v>78</v>
      </c>
      <c r="W29" s="147">
        <v>90</v>
      </c>
      <c r="X29" s="147">
        <v>90</v>
      </c>
      <c r="Y29" s="147">
        <v>90</v>
      </c>
      <c r="Z29" s="147">
        <v>87</v>
      </c>
      <c r="AA29" s="147">
        <v>45</v>
      </c>
      <c r="AB29" s="147" t="s">
        <v>34</v>
      </c>
      <c r="AC29" s="281">
        <v>0</v>
      </c>
      <c r="AD29" s="147">
        <v>77</v>
      </c>
      <c r="AE29" s="147">
        <v>70</v>
      </c>
      <c r="AF29" s="147">
        <v>90</v>
      </c>
      <c r="AG29" s="147">
        <v>76</v>
      </c>
      <c r="AH29" s="101">
        <v>85</v>
      </c>
      <c r="AI29" s="117">
        <f t="shared" si="0"/>
        <v>1322</v>
      </c>
      <c r="AJ29" s="51">
        <v>76</v>
      </c>
      <c r="AK29" s="147">
        <v>80</v>
      </c>
      <c r="AL29" s="147">
        <v>78</v>
      </c>
      <c r="AM29" s="147">
        <v>77</v>
      </c>
      <c r="AN29" s="147" t="s">
        <v>34</v>
      </c>
      <c r="AO29" s="147">
        <v>90</v>
      </c>
      <c r="AP29" s="147">
        <v>56</v>
      </c>
      <c r="AQ29" s="147">
        <v>70</v>
      </c>
      <c r="AR29" s="147">
        <v>70</v>
      </c>
      <c r="AS29" s="147">
        <v>90</v>
      </c>
      <c r="AT29" s="147">
        <v>84</v>
      </c>
      <c r="AU29" s="147">
        <v>90</v>
      </c>
      <c r="AV29" s="147">
        <v>90</v>
      </c>
      <c r="AW29" s="147">
        <v>59</v>
      </c>
      <c r="AX29" s="147" t="s">
        <v>34</v>
      </c>
      <c r="AY29" s="147">
        <v>75</v>
      </c>
      <c r="AZ29" s="147" t="s">
        <v>34</v>
      </c>
      <c r="BA29" s="101">
        <v>87</v>
      </c>
      <c r="BB29" s="72">
        <f t="shared" si="2"/>
        <v>1172</v>
      </c>
      <c r="BC29" s="117">
        <f t="shared" si="1"/>
        <v>2494</v>
      </c>
      <c r="BD29" s="75"/>
      <c r="BE29" s="75"/>
      <c r="BF29" s="75"/>
      <c r="BG29" s="75"/>
      <c r="BH29" s="75"/>
      <c r="BI29" s="75"/>
      <c r="BJ29" s="75"/>
      <c r="BK29" s="75"/>
      <c r="BL29" s="75"/>
    </row>
    <row r="30" spans="1:64" x14ac:dyDescent="0.25">
      <c r="A30" s="29" t="s">
        <v>139</v>
      </c>
      <c r="B30" s="274" t="s">
        <v>604</v>
      </c>
      <c r="C30" s="275" t="s">
        <v>795</v>
      </c>
      <c r="D30" s="151"/>
      <c r="E30" s="312"/>
      <c r="F30" s="115"/>
      <c r="G30" s="101"/>
      <c r="H30" s="115">
        <v>4</v>
      </c>
      <c r="I30" s="117"/>
      <c r="J30" s="151"/>
      <c r="K30" s="101"/>
      <c r="L30" s="72">
        <v>25</v>
      </c>
      <c r="M30" s="151">
        <v>13</v>
      </c>
      <c r="N30" s="101">
        <v>8</v>
      </c>
      <c r="O30" s="151">
        <v>1</v>
      </c>
      <c r="P30" s="101">
        <v>4</v>
      </c>
      <c r="Q30" s="281">
        <v>0</v>
      </c>
      <c r="R30" s="147">
        <v>90</v>
      </c>
      <c r="S30" s="147">
        <v>90</v>
      </c>
      <c r="T30" s="147">
        <v>78</v>
      </c>
      <c r="U30" s="147" t="s">
        <v>34</v>
      </c>
      <c r="V30" s="147" t="s">
        <v>34</v>
      </c>
      <c r="W30" s="147" t="s">
        <v>34</v>
      </c>
      <c r="X30" s="147">
        <v>90</v>
      </c>
      <c r="Y30" s="147">
        <v>90</v>
      </c>
      <c r="Z30" s="147" t="s">
        <v>34</v>
      </c>
      <c r="AA30" s="147">
        <v>90</v>
      </c>
      <c r="AB30" s="147">
        <v>90</v>
      </c>
      <c r="AC30" s="147">
        <v>90</v>
      </c>
      <c r="AD30" s="147">
        <v>90</v>
      </c>
      <c r="AE30" s="147">
        <v>87</v>
      </c>
      <c r="AF30" s="147">
        <v>72</v>
      </c>
      <c r="AG30" s="147">
        <v>90</v>
      </c>
      <c r="AH30" s="101">
        <v>83</v>
      </c>
      <c r="AI30" s="117">
        <f t="shared" si="0"/>
        <v>1130</v>
      </c>
      <c r="AJ30" s="51">
        <v>90</v>
      </c>
      <c r="AK30" s="147">
        <v>50</v>
      </c>
      <c r="AL30" s="147">
        <v>90</v>
      </c>
      <c r="AM30" s="147" t="s">
        <v>34</v>
      </c>
      <c r="AN30" s="147" t="s">
        <v>34</v>
      </c>
      <c r="AO30" s="198">
        <v>5</v>
      </c>
      <c r="AP30" s="147">
        <v>90</v>
      </c>
      <c r="AQ30" s="147">
        <v>89</v>
      </c>
      <c r="AR30" s="147">
        <v>70</v>
      </c>
      <c r="AS30" s="147">
        <v>45</v>
      </c>
      <c r="AT30" s="147">
        <v>45</v>
      </c>
      <c r="AU30" s="147" t="s">
        <v>34</v>
      </c>
      <c r="AV30" s="147" t="s">
        <v>34</v>
      </c>
      <c r="AW30" s="147" t="s">
        <v>34</v>
      </c>
      <c r="AX30" s="198">
        <v>8</v>
      </c>
      <c r="AY30" s="198">
        <v>8</v>
      </c>
      <c r="AZ30" s="198">
        <v>12</v>
      </c>
      <c r="BA30" s="101" t="s">
        <v>34</v>
      </c>
      <c r="BB30" s="72">
        <f t="shared" si="2"/>
        <v>602</v>
      </c>
      <c r="BC30" s="117">
        <f t="shared" si="1"/>
        <v>1732</v>
      </c>
      <c r="BD30" s="75"/>
      <c r="BE30" s="75"/>
      <c r="BF30" s="75"/>
      <c r="BG30" s="75"/>
      <c r="BH30" s="75"/>
      <c r="BI30" s="75"/>
      <c r="BJ30" s="75"/>
      <c r="BK30" s="75"/>
      <c r="BL30" s="75"/>
    </row>
    <row r="31" spans="1:64" x14ac:dyDescent="0.25">
      <c r="A31" s="29" t="s">
        <v>139</v>
      </c>
      <c r="B31" s="274" t="s">
        <v>590</v>
      </c>
      <c r="C31" s="275" t="s">
        <v>692</v>
      </c>
      <c r="D31" s="151"/>
      <c r="E31" s="312"/>
      <c r="F31" s="115"/>
      <c r="G31" s="101"/>
      <c r="H31" s="115">
        <v>2</v>
      </c>
      <c r="I31" s="117">
        <v>2</v>
      </c>
      <c r="J31" s="151"/>
      <c r="K31" s="101"/>
      <c r="L31" s="72">
        <v>18</v>
      </c>
      <c r="M31" s="151">
        <v>6</v>
      </c>
      <c r="N31" s="101">
        <v>5</v>
      </c>
      <c r="O31" s="151">
        <v>5</v>
      </c>
      <c r="P31" s="101">
        <v>5</v>
      </c>
      <c r="Q31" s="151">
        <v>90</v>
      </c>
      <c r="R31" s="147" t="s">
        <v>34</v>
      </c>
      <c r="S31" s="147" t="s">
        <v>34</v>
      </c>
      <c r="T31" s="147">
        <v>60</v>
      </c>
      <c r="U31" s="147">
        <v>65</v>
      </c>
      <c r="V31" s="281">
        <v>12</v>
      </c>
      <c r="W31" s="281">
        <v>13</v>
      </c>
      <c r="X31" s="147">
        <v>85</v>
      </c>
      <c r="Y31" s="147">
        <v>90</v>
      </c>
      <c r="Z31" s="147">
        <v>90</v>
      </c>
      <c r="AA31" s="147" t="s">
        <v>34</v>
      </c>
      <c r="AB31" s="281">
        <v>27</v>
      </c>
      <c r="AC31" s="147" t="s">
        <v>34</v>
      </c>
      <c r="AD31" s="147" t="s">
        <v>34</v>
      </c>
      <c r="AE31" s="281">
        <v>0</v>
      </c>
      <c r="AF31" s="281">
        <v>18</v>
      </c>
      <c r="AG31" s="147" t="s">
        <v>34</v>
      </c>
      <c r="AH31" s="101" t="s">
        <v>34</v>
      </c>
      <c r="AI31" s="117">
        <f t="shared" si="0"/>
        <v>550</v>
      </c>
      <c r="AJ31" s="195">
        <v>0</v>
      </c>
      <c r="AK31" s="147" t="s">
        <v>34</v>
      </c>
      <c r="AL31" s="147" t="s">
        <v>34</v>
      </c>
      <c r="AM31" s="147" t="s">
        <v>34</v>
      </c>
      <c r="AN31" s="147" t="s">
        <v>34</v>
      </c>
      <c r="AO31" s="147" t="s">
        <v>34</v>
      </c>
      <c r="AP31" s="147" t="s">
        <v>34</v>
      </c>
      <c r="AQ31" s="147" t="s">
        <v>34</v>
      </c>
      <c r="AR31" s="147" t="s">
        <v>34</v>
      </c>
      <c r="AS31" s="198">
        <v>45</v>
      </c>
      <c r="AT31" s="198">
        <v>45</v>
      </c>
      <c r="AU31" s="147">
        <v>45</v>
      </c>
      <c r="AV31" s="198">
        <v>0</v>
      </c>
      <c r="AW31" s="198">
        <v>24</v>
      </c>
      <c r="AX31" s="147">
        <v>79</v>
      </c>
      <c r="AY31" s="147">
        <v>90</v>
      </c>
      <c r="AZ31" s="147">
        <v>78</v>
      </c>
      <c r="BA31" s="101">
        <v>90</v>
      </c>
      <c r="BB31" s="72">
        <f t="shared" si="2"/>
        <v>496</v>
      </c>
      <c r="BC31" s="117">
        <f t="shared" si="1"/>
        <v>1046</v>
      </c>
      <c r="BD31" s="75"/>
      <c r="BE31" s="75"/>
      <c r="BF31" s="75"/>
      <c r="BG31" s="75"/>
      <c r="BH31" s="75"/>
      <c r="BI31" s="75"/>
      <c r="BJ31" s="75"/>
      <c r="BK31" s="75"/>
      <c r="BL31" s="75"/>
    </row>
    <row r="32" spans="1:64" x14ac:dyDescent="0.25">
      <c r="A32" s="29" t="s">
        <v>139</v>
      </c>
      <c r="B32" s="274" t="s">
        <v>682</v>
      </c>
      <c r="C32" s="207" t="s">
        <v>942</v>
      </c>
      <c r="D32" s="151"/>
      <c r="E32" s="312"/>
      <c r="F32" s="115"/>
      <c r="G32" s="101"/>
      <c r="H32" s="115"/>
      <c r="I32" s="117"/>
      <c r="J32" s="151"/>
      <c r="K32" s="101"/>
      <c r="L32" s="72">
        <v>3</v>
      </c>
      <c r="M32" s="151">
        <v>0</v>
      </c>
      <c r="N32" s="101">
        <v>0</v>
      </c>
      <c r="O32" s="151">
        <v>4</v>
      </c>
      <c r="P32" s="101">
        <v>3</v>
      </c>
      <c r="Q32" s="151" t="s">
        <v>34</v>
      </c>
      <c r="R32" s="147" t="s">
        <v>34</v>
      </c>
      <c r="S32" s="147" t="s">
        <v>34</v>
      </c>
      <c r="T32" s="147" t="s">
        <v>34</v>
      </c>
      <c r="U32" s="147" t="s">
        <v>34</v>
      </c>
      <c r="V32" s="147" t="s">
        <v>34</v>
      </c>
      <c r="W32" s="281">
        <v>0</v>
      </c>
      <c r="X32" s="147" t="s">
        <v>34</v>
      </c>
      <c r="Y32" s="281">
        <v>4</v>
      </c>
      <c r="Z32" s="281">
        <v>3</v>
      </c>
      <c r="AA32" s="281">
        <v>10</v>
      </c>
      <c r="AB32" s="147" t="s">
        <v>34</v>
      </c>
      <c r="AC32" s="147" t="s">
        <v>34</v>
      </c>
      <c r="AD32" s="147" t="s">
        <v>34</v>
      </c>
      <c r="AE32" s="147" t="s">
        <v>34</v>
      </c>
      <c r="AF32" s="147" t="s">
        <v>34</v>
      </c>
      <c r="AG32" s="147" t="s">
        <v>34</v>
      </c>
      <c r="AH32" s="101" t="s">
        <v>34</v>
      </c>
      <c r="AI32" s="117">
        <f t="shared" si="0"/>
        <v>17</v>
      </c>
      <c r="AJ32" s="195">
        <v>0</v>
      </c>
      <c r="AK32" s="147" t="s">
        <v>34</v>
      </c>
      <c r="AL32" s="147" t="s">
        <v>34</v>
      </c>
      <c r="AM32" s="147" t="s">
        <v>34</v>
      </c>
      <c r="AN32" s="198">
        <v>0</v>
      </c>
      <c r="AO32" s="147" t="s">
        <v>34</v>
      </c>
      <c r="AP32" s="147" t="s">
        <v>34</v>
      </c>
      <c r="AQ32" s="147" t="s">
        <v>34</v>
      </c>
      <c r="AR32" s="147" t="s">
        <v>34</v>
      </c>
      <c r="AS32" s="198">
        <v>0</v>
      </c>
      <c r="AT32" s="147" t="s">
        <v>34</v>
      </c>
      <c r="AU32" s="147" t="s">
        <v>34</v>
      </c>
      <c r="AV32" s="147" t="s">
        <v>34</v>
      </c>
      <c r="AW32" s="147" t="s">
        <v>34</v>
      </c>
      <c r="AX32" s="147" t="s">
        <v>34</v>
      </c>
      <c r="AY32" s="147" t="s">
        <v>34</v>
      </c>
      <c r="AZ32" s="147" t="s">
        <v>34</v>
      </c>
      <c r="BA32" s="101" t="s">
        <v>34</v>
      </c>
      <c r="BB32" s="72">
        <f t="shared" si="2"/>
        <v>0</v>
      </c>
      <c r="BC32" s="117">
        <f t="shared" si="1"/>
        <v>17</v>
      </c>
      <c r="BD32" s="75"/>
      <c r="BE32" s="75"/>
      <c r="BF32" s="75"/>
      <c r="BG32" s="75"/>
      <c r="BH32" s="75"/>
      <c r="BI32" s="75"/>
      <c r="BJ32" s="75"/>
      <c r="BK32" s="75"/>
      <c r="BL32" s="75"/>
    </row>
    <row r="33" spans="1:64" x14ac:dyDescent="0.25">
      <c r="A33" s="30" t="s">
        <v>140</v>
      </c>
      <c r="B33" s="274" t="s">
        <v>667</v>
      </c>
      <c r="C33" s="275" t="s">
        <v>668</v>
      </c>
      <c r="D33" s="151">
        <v>4</v>
      </c>
      <c r="E33" s="312">
        <v>6</v>
      </c>
      <c r="F33" s="115"/>
      <c r="G33" s="101"/>
      <c r="H33" s="115">
        <v>4</v>
      </c>
      <c r="I33" s="117">
        <v>1</v>
      </c>
      <c r="J33" s="151"/>
      <c r="K33" s="101"/>
      <c r="L33" s="72">
        <v>30</v>
      </c>
      <c r="M33" s="151">
        <v>12</v>
      </c>
      <c r="N33" s="101">
        <v>16</v>
      </c>
      <c r="O33" s="151">
        <v>2</v>
      </c>
      <c r="P33" s="101">
        <v>0</v>
      </c>
      <c r="Q33" s="151">
        <v>90</v>
      </c>
      <c r="R33" s="147">
        <v>90</v>
      </c>
      <c r="S33" s="147">
        <v>79</v>
      </c>
      <c r="T33" s="147">
        <v>90</v>
      </c>
      <c r="U33" s="147">
        <v>90</v>
      </c>
      <c r="V33" s="147">
        <v>90</v>
      </c>
      <c r="W33" s="147">
        <v>77</v>
      </c>
      <c r="X33" s="147" t="s">
        <v>34</v>
      </c>
      <c r="Y33" s="147" t="s">
        <v>34</v>
      </c>
      <c r="Z33" s="147" t="s">
        <v>34</v>
      </c>
      <c r="AA33" s="281">
        <v>45</v>
      </c>
      <c r="AB33" s="147">
        <v>90</v>
      </c>
      <c r="AC33" s="147">
        <v>90</v>
      </c>
      <c r="AD33" s="147">
        <v>90</v>
      </c>
      <c r="AE33" s="147">
        <v>87</v>
      </c>
      <c r="AF33" s="147" t="s">
        <v>34</v>
      </c>
      <c r="AG33" s="281">
        <v>24</v>
      </c>
      <c r="AH33" s="101">
        <v>90</v>
      </c>
      <c r="AI33" s="117">
        <f t="shared" si="0"/>
        <v>1122</v>
      </c>
      <c r="AJ33" s="51">
        <v>90</v>
      </c>
      <c r="AK33" s="147">
        <v>90</v>
      </c>
      <c r="AL33" s="147">
        <v>89</v>
      </c>
      <c r="AM33" s="147">
        <v>90</v>
      </c>
      <c r="AN33" s="147">
        <v>90</v>
      </c>
      <c r="AO33" s="147">
        <v>90</v>
      </c>
      <c r="AP33" s="147">
        <v>90</v>
      </c>
      <c r="AQ33" s="147">
        <v>89</v>
      </c>
      <c r="AR33" s="147">
        <v>90</v>
      </c>
      <c r="AS33" s="147">
        <v>90</v>
      </c>
      <c r="AT33" s="147">
        <v>90</v>
      </c>
      <c r="AU33" s="147">
        <v>70</v>
      </c>
      <c r="AV33" s="147" t="s">
        <v>34</v>
      </c>
      <c r="AW33" s="147" t="s">
        <v>34</v>
      </c>
      <c r="AX33" s="147">
        <v>79</v>
      </c>
      <c r="AY33" s="147">
        <v>90</v>
      </c>
      <c r="AZ33" s="147">
        <v>90</v>
      </c>
      <c r="BA33" s="101">
        <v>90</v>
      </c>
      <c r="BB33" s="72">
        <f t="shared" si="2"/>
        <v>1407</v>
      </c>
      <c r="BC33" s="117">
        <f t="shared" si="1"/>
        <v>2529</v>
      </c>
      <c r="BD33" s="75"/>
      <c r="BE33" s="75"/>
      <c r="BF33" s="75"/>
      <c r="BG33" s="75"/>
      <c r="BH33" s="75"/>
      <c r="BI33" s="75"/>
      <c r="BJ33" s="75"/>
      <c r="BK33" s="75"/>
      <c r="BL33" s="75"/>
    </row>
    <row r="34" spans="1:64" x14ac:dyDescent="0.25">
      <c r="A34" s="30" t="s">
        <v>140</v>
      </c>
      <c r="B34" s="274" t="s">
        <v>587</v>
      </c>
      <c r="C34" s="275" t="s">
        <v>588</v>
      </c>
      <c r="D34" s="151">
        <v>3</v>
      </c>
      <c r="E34" s="312">
        <v>2</v>
      </c>
      <c r="F34" s="115"/>
      <c r="G34" s="101"/>
      <c r="H34" s="115">
        <v>2</v>
      </c>
      <c r="I34" s="117">
        <v>2</v>
      </c>
      <c r="J34" s="151"/>
      <c r="K34" s="101"/>
      <c r="L34" s="72">
        <v>29</v>
      </c>
      <c r="M34" s="151">
        <v>13</v>
      </c>
      <c r="N34" s="101">
        <v>1</v>
      </c>
      <c r="O34" s="151">
        <v>5</v>
      </c>
      <c r="P34" s="101">
        <v>14</v>
      </c>
      <c r="Q34" s="151">
        <v>74</v>
      </c>
      <c r="R34" s="147">
        <v>73</v>
      </c>
      <c r="S34" s="147">
        <v>64</v>
      </c>
      <c r="T34" s="147">
        <v>90</v>
      </c>
      <c r="U34" s="147">
        <v>84</v>
      </c>
      <c r="V34" s="147">
        <v>78</v>
      </c>
      <c r="W34" s="147">
        <v>63</v>
      </c>
      <c r="X34" s="147">
        <v>80</v>
      </c>
      <c r="Y34" s="147">
        <v>69</v>
      </c>
      <c r="Z34" s="147">
        <v>87</v>
      </c>
      <c r="AA34" s="147">
        <v>80</v>
      </c>
      <c r="AB34" s="147">
        <v>85</v>
      </c>
      <c r="AC34" s="147">
        <v>80</v>
      </c>
      <c r="AD34" s="281">
        <v>13</v>
      </c>
      <c r="AE34" s="281">
        <v>0</v>
      </c>
      <c r="AF34" s="281">
        <v>27</v>
      </c>
      <c r="AG34" s="281">
        <v>14</v>
      </c>
      <c r="AH34" s="289">
        <v>5</v>
      </c>
      <c r="AI34" s="117">
        <f t="shared" si="0"/>
        <v>1066</v>
      </c>
      <c r="AJ34" s="51">
        <v>76</v>
      </c>
      <c r="AK34" s="198">
        <v>15</v>
      </c>
      <c r="AL34" s="198">
        <v>12</v>
      </c>
      <c r="AM34" s="198">
        <v>0</v>
      </c>
      <c r="AN34" s="198">
        <v>69</v>
      </c>
      <c r="AO34" s="198">
        <v>8</v>
      </c>
      <c r="AP34" s="198">
        <v>26</v>
      </c>
      <c r="AQ34" s="198">
        <v>20</v>
      </c>
      <c r="AR34" s="198">
        <v>20</v>
      </c>
      <c r="AS34" s="198">
        <v>17</v>
      </c>
      <c r="AT34" s="147" t="s">
        <v>34</v>
      </c>
      <c r="AU34" s="147" t="s">
        <v>34</v>
      </c>
      <c r="AV34" s="198">
        <v>4</v>
      </c>
      <c r="AW34" s="198">
        <v>0</v>
      </c>
      <c r="AX34" s="198">
        <v>11</v>
      </c>
      <c r="AY34" s="198">
        <v>0</v>
      </c>
      <c r="AZ34" s="147" t="s">
        <v>34</v>
      </c>
      <c r="BA34" s="198">
        <v>3</v>
      </c>
      <c r="BB34" s="72">
        <f t="shared" si="2"/>
        <v>281</v>
      </c>
      <c r="BC34" s="117">
        <f t="shared" si="1"/>
        <v>1347</v>
      </c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64" x14ac:dyDescent="0.25">
      <c r="A35" s="30" t="s">
        <v>140</v>
      </c>
      <c r="B35" s="274" t="s">
        <v>585</v>
      </c>
      <c r="C35" s="207" t="s">
        <v>948</v>
      </c>
      <c r="D35" s="151"/>
      <c r="E35" s="312">
        <v>3</v>
      </c>
      <c r="F35" s="115"/>
      <c r="G35" s="101"/>
      <c r="H35" s="115"/>
      <c r="I35" s="117">
        <v>1</v>
      </c>
      <c r="J35" s="151"/>
      <c r="K35" s="101"/>
      <c r="L35" s="72">
        <v>16</v>
      </c>
      <c r="M35" s="151">
        <v>0</v>
      </c>
      <c r="N35" s="101">
        <v>10</v>
      </c>
      <c r="O35" s="151">
        <v>0</v>
      </c>
      <c r="P35" s="101">
        <v>6</v>
      </c>
      <c r="Q35" s="151" t="s">
        <v>34</v>
      </c>
      <c r="R35" s="151" t="s">
        <v>34</v>
      </c>
      <c r="S35" s="151" t="s">
        <v>34</v>
      </c>
      <c r="T35" s="151" t="s">
        <v>34</v>
      </c>
      <c r="U35" s="151" t="s">
        <v>34</v>
      </c>
      <c r="V35" s="151" t="s">
        <v>34</v>
      </c>
      <c r="W35" s="151" t="s">
        <v>34</v>
      </c>
      <c r="X35" s="151" t="s">
        <v>34</v>
      </c>
      <c r="Y35" s="151" t="s">
        <v>34</v>
      </c>
      <c r="Z35" s="151" t="s">
        <v>34</v>
      </c>
      <c r="AA35" s="151" t="s">
        <v>34</v>
      </c>
      <c r="AB35" s="151" t="s">
        <v>34</v>
      </c>
      <c r="AC35" s="151" t="s">
        <v>34</v>
      </c>
      <c r="AD35" s="151" t="s">
        <v>34</v>
      </c>
      <c r="AE35" s="151" t="s">
        <v>34</v>
      </c>
      <c r="AF35" s="151" t="s">
        <v>34</v>
      </c>
      <c r="AG35" s="151" t="s">
        <v>34</v>
      </c>
      <c r="AH35" s="101" t="s">
        <v>34</v>
      </c>
      <c r="AI35" s="117">
        <f t="shared" ref="AI35" si="6">SUM(Q35:AH35)</f>
        <v>0</v>
      </c>
      <c r="AJ35" s="51" t="s">
        <v>34</v>
      </c>
      <c r="AK35" s="147">
        <v>57</v>
      </c>
      <c r="AL35" s="198">
        <v>30</v>
      </c>
      <c r="AM35" s="198">
        <v>13</v>
      </c>
      <c r="AN35" s="147">
        <v>85</v>
      </c>
      <c r="AO35" s="147">
        <v>90</v>
      </c>
      <c r="AP35" s="147">
        <v>64</v>
      </c>
      <c r="AQ35" s="198">
        <v>20</v>
      </c>
      <c r="AR35" s="198">
        <v>27</v>
      </c>
      <c r="AS35" s="147" t="s">
        <v>34</v>
      </c>
      <c r="AT35" s="198">
        <v>33</v>
      </c>
      <c r="AU35" s="198">
        <v>45</v>
      </c>
      <c r="AV35" s="147">
        <v>60</v>
      </c>
      <c r="AW35" s="147">
        <v>66</v>
      </c>
      <c r="AX35" s="147">
        <v>82</v>
      </c>
      <c r="AY35" s="147">
        <v>90</v>
      </c>
      <c r="AZ35" s="147">
        <v>90</v>
      </c>
      <c r="BA35" s="101">
        <v>87</v>
      </c>
      <c r="BB35" s="72">
        <f t="shared" ref="BB35" si="7">SUM(AJ35:BA35)</f>
        <v>939</v>
      </c>
      <c r="BC35" s="117">
        <f t="shared" si="1"/>
        <v>939</v>
      </c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64" x14ac:dyDescent="0.25">
      <c r="A36" s="30" t="s">
        <v>140</v>
      </c>
      <c r="B36" s="274" t="s">
        <v>671</v>
      </c>
      <c r="C36" s="275" t="s">
        <v>950</v>
      </c>
      <c r="D36" s="151">
        <v>5</v>
      </c>
      <c r="E36" s="312"/>
      <c r="F36" s="115"/>
      <c r="G36" s="101"/>
      <c r="H36" s="115">
        <v>2</v>
      </c>
      <c r="I36" s="117"/>
      <c r="J36" s="151"/>
      <c r="K36" s="101"/>
      <c r="L36" s="72">
        <v>16</v>
      </c>
      <c r="M36" s="151">
        <v>7</v>
      </c>
      <c r="N36" s="101">
        <v>0</v>
      </c>
      <c r="O36" s="151">
        <v>10</v>
      </c>
      <c r="P36" s="101">
        <v>0</v>
      </c>
      <c r="Q36" s="281">
        <v>30</v>
      </c>
      <c r="R36" s="281">
        <v>0</v>
      </c>
      <c r="S36" s="281">
        <v>11</v>
      </c>
      <c r="T36" s="281">
        <v>12</v>
      </c>
      <c r="U36" s="281">
        <v>6</v>
      </c>
      <c r="V36" s="281">
        <v>12</v>
      </c>
      <c r="W36" s="281">
        <v>27</v>
      </c>
      <c r="X36" s="147">
        <v>90</v>
      </c>
      <c r="Y36" s="281">
        <v>21</v>
      </c>
      <c r="Z36" s="147">
        <v>84</v>
      </c>
      <c r="AA36" s="147">
        <v>90</v>
      </c>
      <c r="AB36" s="147">
        <v>81</v>
      </c>
      <c r="AC36" s="147">
        <v>90</v>
      </c>
      <c r="AD36" s="281">
        <v>13</v>
      </c>
      <c r="AE36" s="281">
        <v>3</v>
      </c>
      <c r="AF36" s="147">
        <v>90</v>
      </c>
      <c r="AG36" s="147">
        <v>66</v>
      </c>
      <c r="AH36" s="101" t="s">
        <v>34</v>
      </c>
      <c r="AI36" s="117">
        <f t="shared" si="0"/>
        <v>726</v>
      </c>
      <c r="AJ36" s="51" t="s">
        <v>34</v>
      </c>
      <c r="AK36" s="147" t="s">
        <v>34</v>
      </c>
      <c r="AL36" s="147" t="s">
        <v>34</v>
      </c>
      <c r="AM36" s="147" t="s">
        <v>34</v>
      </c>
      <c r="AN36" s="147" t="s">
        <v>34</v>
      </c>
      <c r="AO36" s="147" t="s">
        <v>34</v>
      </c>
      <c r="AP36" s="147" t="s">
        <v>34</v>
      </c>
      <c r="AQ36" s="147" t="s">
        <v>34</v>
      </c>
      <c r="AR36" s="147" t="s">
        <v>34</v>
      </c>
      <c r="AS36" s="147" t="s">
        <v>34</v>
      </c>
      <c r="AT36" s="147" t="s">
        <v>34</v>
      </c>
      <c r="AU36" s="147" t="s">
        <v>34</v>
      </c>
      <c r="AV36" s="147" t="s">
        <v>34</v>
      </c>
      <c r="AW36" s="147" t="s">
        <v>34</v>
      </c>
      <c r="AX36" s="147" t="s">
        <v>34</v>
      </c>
      <c r="AY36" s="147" t="s">
        <v>34</v>
      </c>
      <c r="AZ36" s="147" t="s">
        <v>34</v>
      </c>
      <c r="BA36" s="101" t="s">
        <v>34</v>
      </c>
      <c r="BB36" s="72">
        <f t="shared" si="2"/>
        <v>0</v>
      </c>
      <c r="BC36" s="117">
        <f t="shared" si="1"/>
        <v>726</v>
      </c>
      <c r="BD36" s="75"/>
      <c r="BE36" s="75"/>
      <c r="BF36" s="75"/>
      <c r="BG36" s="75"/>
      <c r="BH36" s="75"/>
      <c r="BI36" s="75"/>
      <c r="BJ36" s="75"/>
      <c r="BK36" s="75"/>
      <c r="BL36" s="75"/>
    </row>
    <row r="37" spans="1:64" x14ac:dyDescent="0.25">
      <c r="A37" s="30" t="s">
        <v>140</v>
      </c>
      <c r="B37" s="274" t="s">
        <v>615</v>
      </c>
      <c r="C37" s="275" t="s">
        <v>616</v>
      </c>
      <c r="D37" s="151"/>
      <c r="E37" s="312"/>
      <c r="F37" s="115"/>
      <c r="G37" s="101"/>
      <c r="H37" s="115"/>
      <c r="I37" s="117"/>
      <c r="J37" s="151"/>
      <c r="K37" s="101"/>
      <c r="L37" s="72">
        <v>0</v>
      </c>
      <c r="M37" s="151">
        <v>0</v>
      </c>
      <c r="N37" s="101">
        <v>0</v>
      </c>
      <c r="O37" s="151">
        <v>0</v>
      </c>
      <c r="P37" s="101">
        <v>2</v>
      </c>
      <c r="Q37" s="151" t="s">
        <v>34</v>
      </c>
      <c r="R37" s="147" t="s">
        <v>34</v>
      </c>
      <c r="S37" s="147" t="s">
        <v>34</v>
      </c>
      <c r="T37" s="147" t="s">
        <v>34</v>
      </c>
      <c r="U37" s="147" t="s">
        <v>34</v>
      </c>
      <c r="V37" s="147" t="s">
        <v>34</v>
      </c>
      <c r="W37" s="147" t="s">
        <v>34</v>
      </c>
      <c r="X37" s="147" t="s">
        <v>34</v>
      </c>
      <c r="Y37" s="147" t="s">
        <v>34</v>
      </c>
      <c r="Z37" s="147" t="s">
        <v>34</v>
      </c>
      <c r="AA37" s="147" t="s">
        <v>34</v>
      </c>
      <c r="AB37" s="147" t="s">
        <v>34</v>
      </c>
      <c r="AC37" s="147" t="s">
        <v>34</v>
      </c>
      <c r="AD37" s="147" t="s">
        <v>34</v>
      </c>
      <c r="AE37" s="147" t="s">
        <v>34</v>
      </c>
      <c r="AF37" s="147" t="s">
        <v>34</v>
      </c>
      <c r="AG37" s="147" t="s">
        <v>34</v>
      </c>
      <c r="AH37" s="101" t="s">
        <v>34</v>
      </c>
      <c r="AI37" s="117">
        <f t="shared" si="0"/>
        <v>0</v>
      </c>
      <c r="AJ37" s="51" t="s">
        <v>34</v>
      </c>
      <c r="AK37" s="147" t="s">
        <v>34</v>
      </c>
      <c r="AL37" s="147" t="s">
        <v>34</v>
      </c>
      <c r="AM37" s="147" t="s">
        <v>34</v>
      </c>
      <c r="AN37" s="147" t="s">
        <v>34</v>
      </c>
      <c r="AO37" s="147" t="s">
        <v>34</v>
      </c>
      <c r="AP37" s="147" t="s">
        <v>34</v>
      </c>
      <c r="AQ37" s="147" t="s">
        <v>34</v>
      </c>
      <c r="AR37" s="147" t="s">
        <v>34</v>
      </c>
      <c r="AS37" s="147" t="s">
        <v>34</v>
      </c>
      <c r="AT37" s="147" t="s">
        <v>34</v>
      </c>
      <c r="AU37" s="147" t="s">
        <v>34</v>
      </c>
      <c r="AV37" s="147" t="s">
        <v>34</v>
      </c>
      <c r="AW37" s="198">
        <v>0</v>
      </c>
      <c r="AX37" s="147" t="s">
        <v>34</v>
      </c>
      <c r="AY37" s="147" t="s">
        <v>34</v>
      </c>
      <c r="AZ37" s="198">
        <v>0</v>
      </c>
      <c r="BA37" s="101" t="s">
        <v>34</v>
      </c>
      <c r="BB37" s="72">
        <f t="shared" si="2"/>
        <v>0</v>
      </c>
      <c r="BC37" s="117">
        <f t="shared" si="1"/>
        <v>0</v>
      </c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64" x14ac:dyDescent="0.25">
      <c r="A38" s="30" t="s">
        <v>140</v>
      </c>
      <c r="B38" s="274" t="s">
        <v>691</v>
      </c>
      <c r="C38" s="275" t="s">
        <v>674</v>
      </c>
      <c r="D38" s="151">
        <v>2</v>
      </c>
      <c r="E38" s="312">
        <v>2</v>
      </c>
      <c r="F38" s="115"/>
      <c r="G38" s="101"/>
      <c r="H38" s="115">
        <v>4</v>
      </c>
      <c r="I38" s="117">
        <v>1</v>
      </c>
      <c r="J38" s="151">
        <v>1</v>
      </c>
      <c r="K38" s="101">
        <v>1</v>
      </c>
      <c r="L38" s="72">
        <v>28</v>
      </c>
      <c r="M38" s="151">
        <v>8</v>
      </c>
      <c r="N38" s="101">
        <v>9</v>
      </c>
      <c r="O38" s="151">
        <v>7</v>
      </c>
      <c r="P38" s="101">
        <v>4</v>
      </c>
      <c r="Q38" s="151" t="s">
        <v>34</v>
      </c>
      <c r="R38" s="281">
        <v>17</v>
      </c>
      <c r="S38" s="281">
        <v>26</v>
      </c>
      <c r="T38" s="281">
        <v>30</v>
      </c>
      <c r="U38" s="147">
        <v>76</v>
      </c>
      <c r="V38" s="281">
        <v>5</v>
      </c>
      <c r="W38" s="281">
        <v>30</v>
      </c>
      <c r="X38" s="281">
        <v>10</v>
      </c>
      <c r="Y38" s="281">
        <v>21</v>
      </c>
      <c r="Z38" s="147">
        <v>90</v>
      </c>
      <c r="AA38" s="147" t="s">
        <v>34</v>
      </c>
      <c r="AB38" s="147" t="s">
        <v>34</v>
      </c>
      <c r="AC38" s="147">
        <v>90</v>
      </c>
      <c r="AD38" s="147">
        <v>90</v>
      </c>
      <c r="AE38" s="147">
        <v>90</v>
      </c>
      <c r="AF38" s="147">
        <v>63</v>
      </c>
      <c r="AG38" s="147">
        <v>76</v>
      </c>
      <c r="AH38" s="101">
        <v>90</v>
      </c>
      <c r="AI38" s="117">
        <f t="shared" si="0"/>
        <v>804</v>
      </c>
      <c r="AJ38" s="51" t="s">
        <v>34</v>
      </c>
      <c r="AK38" s="147" t="s">
        <v>34</v>
      </c>
      <c r="AL38" s="147">
        <v>60</v>
      </c>
      <c r="AM38" s="147">
        <v>90</v>
      </c>
      <c r="AN38" s="147" t="s">
        <v>34</v>
      </c>
      <c r="AO38" s="147" t="s">
        <v>34</v>
      </c>
      <c r="AP38" s="198">
        <v>34</v>
      </c>
      <c r="AQ38" s="147">
        <v>70</v>
      </c>
      <c r="AR38" s="147">
        <v>90</v>
      </c>
      <c r="AS38" s="147">
        <v>73</v>
      </c>
      <c r="AT38" s="147">
        <v>90</v>
      </c>
      <c r="AU38" s="147">
        <v>90</v>
      </c>
      <c r="AV38" s="147">
        <v>90</v>
      </c>
      <c r="AW38" s="198">
        <v>24</v>
      </c>
      <c r="AX38" s="147" t="s">
        <v>34</v>
      </c>
      <c r="AY38" s="198">
        <v>39</v>
      </c>
      <c r="AZ38" s="198">
        <v>30</v>
      </c>
      <c r="BA38" s="101">
        <v>90</v>
      </c>
      <c r="BB38" s="72">
        <f t="shared" si="2"/>
        <v>870</v>
      </c>
      <c r="BC38" s="117">
        <f t="shared" si="1"/>
        <v>1674</v>
      </c>
      <c r="BD38" s="75"/>
      <c r="BE38" s="75"/>
      <c r="BF38" s="75"/>
      <c r="BG38" s="75"/>
      <c r="BH38" s="75"/>
      <c r="BI38" s="75"/>
      <c r="BJ38" s="75"/>
      <c r="BK38" s="75"/>
      <c r="BL38" s="75"/>
    </row>
    <row r="39" spans="1:64" x14ac:dyDescent="0.25">
      <c r="A39" s="30" t="s">
        <v>140</v>
      </c>
      <c r="B39" s="274" t="s">
        <v>678</v>
      </c>
      <c r="C39" s="275" t="s">
        <v>679</v>
      </c>
      <c r="D39" s="151"/>
      <c r="E39" s="312"/>
      <c r="F39" s="115"/>
      <c r="G39" s="101"/>
      <c r="H39" s="115">
        <v>1</v>
      </c>
      <c r="I39" s="117"/>
      <c r="J39" s="151"/>
      <c r="K39" s="101"/>
      <c r="L39" s="72">
        <v>9</v>
      </c>
      <c r="M39" s="151">
        <v>5</v>
      </c>
      <c r="N39" s="101">
        <v>0</v>
      </c>
      <c r="O39" s="151">
        <v>7</v>
      </c>
      <c r="P39" s="101">
        <v>2</v>
      </c>
      <c r="Q39" s="151" t="s">
        <v>34</v>
      </c>
      <c r="R39" s="147" t="s">
        <v>34</v>
      </c>
      <c r="S39" s="147" t="s">
        <v>34</v>
      </c>
      <c r="T39" s="147" t="s">
        <v>34</v>
      </c>
      <c r="U39" s="281">
        <v>14</v>
      </c>
      <c r="V39" s="281">
        <v>0</v>
      </c>
      <c r="W39" s="147">
        <v>90</v>
      </c>
      <c r="X39" s="281">
        <v>5</v>
      </c>
      <c r="Y39" s="147">
        <v>86</v>
      </c>
      <c r="Z39" s="147">
        <v>73</v>
      </c>
      <c r="AA39" s="147">
        <v>80</v>
      </c>
      <c r="AB39" s="147">
        <v>63</v>
      </c>
      <c r="AC39" s="281">
        <v>0</v>
      </c>
      <c r="AD39" s="281">
        <v>0</v>
      </c>
      <c r="AE39" s="281">
        <v>3</v>
      </c>
      <c r="AF39" s="147" t="s">
        <v>34</v>
      </c>
      <c r="AG39" s="281">
        <v>0</v>
      </c>
      <c r="AH39" s="101" t="s">
        <v>34</v>
      </c>
      <c r="AI39" s="117">
        <f t="shared" si="0"/>
        <v>414</v>
      </c>
      <c r="AJ39" s="51" t="s">
        <v>34</v>
      </c>
      <c r="AK39" s="147" t="s">
        <v>34</v>
      </c>
      <c r="AL39" s="147" t="s">
        <v>34</v>
      </c>
      <c r="AM39" s="147" t="s">
        <v>34</v>
      </c>
      <c r="AN39" s="147" t="s">
        <v>34</v>
      </c>
      <c r="AO39" s="147" t="s">
        <v>34</v>
      </c>
      <c r="AP39" s="147" t="s">
        <v>34</v>
      </c>
      <c r="AQ39" s="147" t="s">
        <v>34</v>
      </c>
      <c r="AR39" s="147" t="s">
        <v>34</v>
      </c>
      <c r="AS39" s="147" t="s">
        <v>34</v>
      </c>
      <c r="AT39" s="198">
        <v>0</v>
      </c>
      <c r="AU39" s="147" t="s">
        <v>34</v>
      </c>
      <c r="AV39" s="198">
        <v>30</v>
      </c>
      <c r="AW39" s="147" t="s">
        <v>34</v>
      </c>
      <c r="AX39" s="147" t="s">
        <v>34</v>
      </c>
      <c r="AY39" s="147" t="s">
        <v>34</v>
      </c>
      <c r="AZ39" s="147" t="s">
        <v>34</v>
      </c>
      <c r="BA39" s="101" t="s">
        <v>34</v>
      </c>
      <c r="BB39" s="72">
        <f t="shared" si="2"/>
        <v>30</v>
      </c>
      <c r="BC39" s="117">
        <f t="shared" si="1"/>
        <v>444</v>
      </c>
      <c r="BD39" s="75"/>
      <c r="BE39" s="75"/>
      <c r="BF39" s="75"/>
      <c r="BG39" s="75"/>
      <c r="BH39" s="75"/>
      <c r="BI39" s="75"/>
      <c r="BJ39" s="75"/>
      <c r="BK39" s="75"/>
      <c r="BL39" s="75"/>
    </row>
    <row r="40" spans="1:64" ht="15.75" thickBot="1" x14ac:dyDescent="0.3">
      <c r="A40" s="105" t="s">
        <v>140</v>
      </c>
      <c r="B40" s="314" t="s">
        <v>685</v>
      </c>
      <c r="C40" s="315" t="s">
        <v>511</v>
      </c>
      <c r="D40" s="151"/>
      <c r="E40" s="312"/>
      <c r="F40" s="115"/>
      <c r="G40" s="101"/>
      <c r="H40" s="123"/>
      <c r="I40" s="117"/>
      <c r="J40" s="151"/>
      <c r="K40" s="101"/>
      <c r="L40" s="72">
        <v>1</v>
      </c>
      <c r="M40" s="151">
        <v>0</v>
      </c>
      <c r="N40" s="101">
        <v>0</v>
      </c>
      <c r="O40" s="151">
        <v>2</v>
      </c>
      <c r="P40" s="101">
        <v>0</v>
      </c>
      <c r="Q40" s="151" t="s">
        <v>34</v>
      </c>
      <c r="R40" s="147" t="s">
        <v>34</v>
      </c>
      <c r="S40" s="147" t="s">
        <v>34</v>
      </c>
      <c r="T40" s="147" t="s">
        <v>34</v>
      </c>
      <c r="U40" s="147" t="s">
        <v>34</v>
      </c>
      <c r="V40" s="147" t="s">
        <v>34</v>
      </c>
      <c r="W40" s="281">
        <v>0</v>
      </c>
      <c r="X40" s="147" t="s">
        <v>34</v>
      </c>
      <c r="Y40" s="147" t="s">
        <v>34</v>
      </c>
      <c r="Z40" s="147" t="s">
        <v>34</v>
      </c>
      <c r="AA40" s="147" t="s">
        <v>34</v>
      </c>
      <c r="AB40" s="281">
        <v>5</v>
      </c>
      <c r="AC40" s="147" t="s">
        <v>34</v>
      </c>
      <c r="AD40" s="147" t="s">
        <v>34</v>
      </c>
      <c r="AE40" s="147" t="s">
        <v>34</v>
      </c>
      <c r="AF40" s="147" t="s">
        <v>34</v>
      </c>
      <c r="AG40" s="147" t="s">
        <v>34</v>
      </c>
      <c r="AH40" s="101" t="s">
        <v>34</v>
      </c>
      <c r="AI40" s="117">
        <f t="shared" si="0"/>
        <v>5</v>
      </c>
      <c r="AJ40" s="51" t="s">
        <v>34</v>
      </c>
      <c r="AK40" s="147" t="s">
        <v>34</v>
      </c>
      <c r="AL40" s="147" t="s">
        <v>34</v>
      </c>
      <c r="AM40" s="147" t="s">
        <v>34</v>
      </c>
      <c r="AN40" s="147" t="s">
        <v>34</v>
      </c>
      <c r="AO40" s="147" t="s">
        <v>34</v>
      </c>
      <c r="AP40" s="147" t="s">
        <v>34</v>
      </c>
      <c r="AQ40" s="147" t="s">
        <v>34</v>
      </c>
      <c r="AR40" s="147" t="s">
        <v>34</v>
      </c>
      <c r="AS40" s="147" t="s">
        <v>34</v>
      </c>
      <c r="AT40" s="147" t="s">
        <v>34</v>
      </c>
      <c r="AU40" s="147" t="s">
        <v>34</v>
      </c>
      <c r="AV40" s="147" t="s">
        <v>34</v>
      </c>
      <c r="AW40" s="147" t="s">
        <v>34</v>
      </c>
      <c r="AX40" s="147" t="s">
        <v>34</v>
      </c>
      <c r="AY40" s="147" t="s">
        <v>34</v>
      </c>
      <c r="AZ40" s="147" t="s">
        <v>34</v>
      </c>
      <c r="BA40" s="101" t="s">
        <v>34</v>
      </c>
      <c r="BB40" s="72">
        <f t="shared" si="2"/>
        <v>0</v>
      </c>
      <c r="BC40" s="117">
        <f t="shared" si="1"/>
        <v>5</v>
      </c>
      <c r="BD40" s="75"/>
      <c r="BE40" s="75"/>
      <c r="BF40" s="75"/>
      <c r="BG40" s="75"/>
      <c r="BH40" s="75"/>
      <c r="BI40" s="75"/>
      <c r="BJ40" s="75"/>
      <c r="BK40" s="75"/>
      <c r="BL40" s="75"/>
    </row>
    <row r="41" spans="1:64" x14ac:dyDescent="0.25">
      <c r="A41" s="75"/>
      <c r="B41" s="295"/>
      <c r="C41" s="296" t="s">
        <v>35</v>
      </c>
      <c r="D41" s="403">
        <v>1</v>
      </c>
      <c r="E41" s="404"/>
      <c r="F41" s="395" t="s">
        <v>171</v>
      </c>
      <c r="G41" s="392"/>
      <c r="H41" s="395" t="s">
        <v>171</v>
      </c>
      <c r="I41" s="392"/>
      <c r="J41" s="395" t="s">
        <v>171</v>
      </c>
      <c r="K41" s="392"/>
      <c r="L41" s="298" t="s">
        <v>364</v>
      </c>
      <c r="M41" s="395" t="s">
        <v>171</v>
      </c>
      <c r="N41" s="402"/>
      <c r="O41" s="395" t="s">
        <v>171</v>
      </c>
      <c r="P41" s="392"/>
      <c r="Q41" s="299" t="s">
        <v>171</v>
      </c>
      <c r="R41" s="299" t="s">
        <v>171</v>
      </c>
      <c r="S41" s="299" t="s">
        <v>171</v>
      </c>
      <c r="T41" s="299" t="s">
        <v>171</v>
      </c>
      <c r="U41" s="299" t="s">
        <v>171</v>
      </c>
      <c r="V41" s="299" t="s">
        <v>171</v>
      </c>
      <c r="W41" s="299" t="s">
        <v>171</v>
      </c>
      <c r="X41" s="299" t="s">
        <v>171</v>
      </c>
      <c r="Y41" s="299" t="s">
        <v>171</v>
      </c>
      <c r="Z41" s="299" t="s">
        <v>171</v>
      </c>
      <c r="AA41" s="299" t="s">
        <v>171</v>
      </c>
      <c r="AB41" s="299" t="s">
        <v>171</v>
      </c>
      <c r="AC41" s="299" t="s">
        <v>171</v>
      </c>
      <c r="AD41" s="299" t="s">
        <v>171</v>
      </c>
      <c r="AE41" s="299" t="s">
        <v>171</v>
      </c>
      <c r="AF41" s="299" t="s">
        <v>171</v>
      </c>
      <c r="AG41" s="299" t="s">
        <v>171</v>
      </c>
      <c r="AH41" s="299" t="s">
        <v>171</v>
      </c>
      <c r="AI41" s="299" t="s">
        <v>171</v>
      </c>
      <c r="AJ41" s="299" t="s">
        <v>171</v>
      </c>
      <c r="AK41" s="299" t="s">
        <v>171</v>
      </c>
      <c r="AL41" s="299" t="s">
        <v>171</v>
      </c>
      <c r="AM41" s="299" t="s">
        <v>171</v>
      </c>
      <c r="AN41" s="299" t="s">
        <v>171</v>
      </c>
      <c r="AO41" s="299" t="s">
        <v>171</v>
      </c>
      <c r="AP41" s="299" t="s">
        <v>171</v>
      </c>
      <c r="AQ41" s="299" t="s">
        <v>171</v>
      </c>
      <c r="AR41" s="299" t="s">
        <v>171</v>
      </c>
      <c r="AS41" s="299" t="s">
        <v>171</v>
      </c>
      <c r="AT41" s="299" t="s">
        <v>171</v>
      </c>
      <c r="AU41" s="299" t="s">
        <v>171</v>
      </c>
      <c r="AV41" s="299" t="s">
        <v>171</v>
      </c>
      <c r="AW41" s="299" t="s">
        <v>171</v>
      </c>
      <c r="AX41" s="299" t="s">
        <v>171</v>
      </c>
      <c r="AY41" s="299" t="s">
        <v>171</v>
      </c>
      <c r="AZ41" s="299" t="s">
        <v>171</v>
      </c>
      <c r="BA41" s="299" t="s">
        <v>171</v>
      </c>
      <c r="BB41" s="299" t="s">
        <v>171</v>
      </c>
      <c r="BC41" s="299" t="s">
        <v>171</v>
      </c>
      <c r="BD41" s="75"/>
      <c r="BE41" s="75"/>
      <c r="BF41" s="75"/>
      <c r="BG41" s="75"/>
      <c r="BH41" s="75"/>
      <c r="BI41" s="75"/>
      <c r="BJ41" s="75"/>
      <c r="BK41" s="75"/>
      <c r="BL41" s="75"/>
    </row>
    <row r="42" spans="1:64" ht="15.75" thickBot="1" x14ac:dyDescent="0.3">
      <c r="A42" s="75"/>
      <c r="B42" s="295"/>
      <c r="C42" s="300" t="s">
        <v>172</v>
      </c>
      <c r="D42" s="212">
        <f>SUM(D8:D40)</f>
        <v>19</v>
      </c>
      <c r="E42" s="316">
        <v>26</v>
      </c>
      <c r="F42" s="123">
        <f t="shared" ref="F42:K42" si="8">SUM(F6:F40)</f>
        <v>0</v>
      </c>
      <c r="G42" s="122">
        <f t="shared" si="8"/>
        <v>0</v>
      </c>
      <c r="H42" s="121">
        <f t="shared" si="8"/>
        <v>52</v>
      </c>
      <c r="I42" s="122">
        <f t="shared" si="8"/>
        <v>42</v>
      </c>
      <c r="J42" s="123">
        <f t="shared" si="8"/>
        <v>5</v>
      </c>
      <c r="K42" s="122">
        <f t="shared" si="8"/>
        <v>5</v>
      </c>
      <c r="L42" s="301" t="s">
        <v>364</v>
      </c>
      <c r="M42" s="399" t="s">
        <v>171</v>
      </c>
      <c r="N42" s="400"/>
      <c r="O42" s="399" t="s">
        <v>171</v>
      </c>
      <c r="P42" s="401"/>
      <c r="Q42" s="301" t="s">
        <v>171</v>
      </c>
      <c r="R42" s="301" t="s">
        <v>171</v>
      </c>
      <c r="S42" s="301" t="s">
        <v>171</v>
      </c>
      <c r="T42" s="301" t="s">
        <v>171</v>
      </c>
      <c r="U42" s="301" t="s">
        <v>171</v>
      </c>
      <c r="V42" s="301" t="s">
        <v>171</v>
      </c>
      <c r="W42" s="301" t="s">
        <v>171</v>
      </c>
      <c r="X42" s="301" t="s">
        <v>171</v>
      </c>
      <c r="Y42" s="301" t="s">
        <v>171</v>
      </c>
      <c r="Z42" s="301" t="s">
        <v>171</v>
      </c>
      <c r="AA42" s="301" t="s">
        <v>171</v>
      </c>
      <c r="AB42" s="301" t="s">
        <v>171</v>
      </c>
      <c r="AC42" s="301" t="s">
        <v>171</v>
      </c>
      <c r="AD42" s="301" t="s">
        <v>171</v>
      </c>
      <c r="AE42" s="301" t="s">
        <v>171</v>
      </c>
      <c r="AF42" s="301" t="s">
        <v>171</v>
      </c>
      <c r="AG42" s="301" t="s">
        <v>171</v>
      </c>
      <c r="AH42" s="301" t="s">
        <v>171</v>
      </c>
      <c r="AI42" s="301" t="s">
        <v>171</v>
      </c>
      <c r="AJ42" s="301" t="s">
        <v>171</v>
      </c>
      <c r="AK42" s="301" t="s">
        <v>171</v>
      </c>
      <c r="AL42" s="301" t="s">
        <v>171</v>
      </c>
      <c r="AM42" s="301" t="s">
        <v>171</v>
      </c>
      <c r="AN42" s="301" t="s">
        <v>171</v>
      </c>
      <c r="AO42" s="301" t="s">
        <v>171</v>
      </c>
      <c r="AP42" s="301" t="s">
        <v>171</v>
      </c>
      <c r="AQ42" s="301" t="s">
        <v>171</v>
      </c>
      <c r="AR42" s="301" t="s">
        <v>171</v>
      </c>
      <c r="AS42" s="301" t="s">
        <v>171</v>
      </c>
      <c r="AT42" s="301" t="s">
        <v>171</v>
      </c>
      <c r="AU42" s="301" t="s">
        <v>171</v>
      </c>
      <c r="AV42" s="301" t="s">
        <v>171</v>
      </c>
      <c r="AW42" s="301" t="s">
        <v>171</v>
      </c>
      <c r="AX42" s="301" t="s">
        <v>171</v>
      </c>
      <c r="AY42" s="301" t="s">
        <v>171</v>
      </c>
      <c r="AZ42" s="301" t="s">
        <v>171</v>
      </c>
      <c r="BA42" s="301" t="s">
        <v>171</v>
      </c>
      <c r="BB42" s="301" t="s">
        <v>171</v>
      </c>
      <c r="BC42" s="301" t="s">
        <v>171</v>
      </c>
      <c r="BD42" s="75"/>
      <c r="BE42" s="75"/>
      <c r="BF42" s="75"/>
      <c r="BG42" s="75"/>
      <c r="BH42" s="75"/>
      <c r="BI42" s="75"/>
      <c r="BJ42" s="75"/>
      <c r="BK42" s="75"/>
      <c r="BL42" s="75"/>
    </row>
    <row r="43" spans="1:64" ht="15.75" thickBot="1" x14ac:dyDescent="0.3">
      <c r="A43" s="75"/>
      <c r="B43" s="295"/>
      <c r="C43" s="303" t="s">
        <v>173</v>
      </c>
      <c r="D43" s="393">
        <f>D42+E42</f>
        <v>45</v>
      </c>
      <c r="E43" s="394"/>
      <c r="F43" s="393">
        <f>F42+G42</f>
        <v>0</v>
      </c>
      <c r="G43" s="394"/>
      <c r="H43" s="393">
        <f>H42+I42</f>
        <v>94</v>
      </c>
      <c r="I43" s="394"/>
      <c r="J43" s="393">
        <f>J42+K42</f>
        <v>10</v>
      </c>
      <c r="K43" s="394"/>
      <c r="L43" s="305" t="s">
        <v>364</v>
      </c>
      <c r="M43" s="396" t="s">
        <v>171</v>
      </c>
      <c r="N43" s="397"/>
      <c r="O43" s="396" t="s">
        <v>171</v>
      </c>
      <c r="P43" s="398"/>
      <c r="Q43" s="305" t="s">
        <v>171</v>
      </c>
      <c r="R43" s="305" t="s">
        <v>171</v>
      </c>
      <c r="S43" s="305" t="s">
        <v>171</v>
      </c>
      <c r="T43" s="305" t="s">
        <v>171</v>
      </c>
      <c r="U43" s="305" t="s">
        <v>171</v>
      </c>
      <c r="V43" s="305" t="s">
        <v>171</v>
      </c>
      <c r="W43" s="305" t="s">
        <v>171</v>
      </c>
      <c r="X43" s="305" t="s">
        <v>171</v>
      </c>
      <c r="Y43" s="305" t="s">
        <v>171</v>
      </c>
      <c r="Z43" s="305" t="s">
        <v>171</v>
      </c>
      <c r="AA43" s="305" t="s">
        <v>171</v>
      </c>
      <c r="AB43" s="305" t="s">
        <v>171</v>
      </c>
      <c r="AC43" s="305" t="s">
        <v>171</v>
      </c>
      <c r="AD43" s="305" t="s">
        <v>171</v>
      </c>
      <c r="AE43" s="305" t="s">
        <v>171</v>
      </c>
      <c r="AF43" s="305" t="s">
        <v>171</v>
      </c>
      <c r="AG43" s="305" t="s">
        <v>171</v>
      </c>
      <c r="AH43" s="305" t="s">
        <v>171</v>
      </c>
      <c r="AI43" s="305" t="s">
        <v>171</v>
      </c>
      <c r="AJ43" s="305" t="s">
        <v>171</v>
      </c>
      <c r="AK43" s="305" t="s">
        <v>171</v>
      </c>
      <c r="AL43" s="305" t="s">
        <v>171</v>
      </c>
      <c r="AM43" s="305" t="s">
        <v>171</v>
      </c>
      <c r="AN43" s="305" t="s">
        <v>171</v>
      </c>
      <c r="AO43" s="305" t="s">
        <v>171</v>
      </c>
      <c r="AP43" s="305" t="s">
        <v>171</v>
      </c>
      <c r="AQ43" s="305" t="s">
        <v>171</v>
      </c>
      <c r="AR43" s="305" t="s">
        <v>171</v>
      </c>
      <c r="AS43" s="305" t="s">
        <v>171</v>
      </c>
      <c r="AT43" s="305" t="s">
        <v>171</v>
      </c>
      <c r="AU43" s="305" t="s">
        <v>171</v>
      </c>
      <c r="AV43" s="305" t="s">
        <v>171</v>
      </c>
      <c r="AW43" s="305" t="s">
        <v>171</v>
      </c>
      <c r="AX43" s="305" t="s">
        <v>171</v>
      </c>
      <c r="AY43" s="305" t="s">
        <v>171</v>
      </c>
      <c r="AZ43" s="305" t="s">
        <v>171</v>
      </c>
      <c r="BA43" s="305" t="s">
        <v>171</v>
      </c>
      <c r="BB43" s="305" t="s">
        <v>171</v>
      </c>
      <c r="BC43" s="305" t="s">
        <v>171</v>
      </c>
      <c r="BD43" s="75"/>
      <c r="BE43" s="75"/>
      <c r="BF43" s="75"/>
      <c r="BG43" s="75"/>
      <c r="BH43" s="75"/>
      <c r="BI43" s="75"/>
      <c r="BJ43" s="75"/>
      <c r="BK43" s="75"/>
      <c r="BL43" s="75"/>
    </row>
    <row r="44" spans="1:64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</row>
    <row r="45" spans="1:64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</row>
    <row r="46" spans="1:64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</row>
    <row r="47" spans="1:64" x14ac:dyDescent="0.25">
      <c r="A47" s="75"/>
      <c r="B47" s="75"/>
      <c r="C47" s="7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</row>
    <row r="48" spans="1:64" x14ac:dyDescent="0.25">
      <c r="A48" s="75"/>
      <c r="B48" s="75"/>
      <c r="C48" s="7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</row>
    <row r="49" spans="1:64" x14ac:dyDescent="0.25">
      <c r="A49" s="75"/>
      <c r="B49" s="75"/>
      <c r="C49" s="7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</row>
    <row r="50" spans="1:64" x14ac:dyDescent="0.25">
      <c r="A50" s="75"/>
      <c r="B50" s="75"/>
      <c r="C50" s="7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</row>
    <row r="51" spans="1:64" x14ac:dyDescent="0.25">
      <c r="A51" s="75"/>
      <c r="B51" s="75"/>
      <c r="C51" s="7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</row>
    <row r="52" spans="1:64" x14ac:dyDescent="0.25">
      <c r="A52" s="75"/>
      <c r="B52" s="75"/>
      <c r="C52" s="7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</row>
  </sheetData>
  <mergeCells count="64">
    <mergeCell ref="AE2:AE3"/>
    <mergeCell ref="AF2:AF3"/>
    <mergeCell ref="U2:U3"/>
    <mergeCell ref="A1:P1"/>
    <mergeCell ref="A2:A3"/>
    <mergeCell ref="B2:B3"/>
    <mergeCell ref="C2:C3"/>
    <mergeCell ref="D2:E2"/>
    <mergeCell ref="F2:G2"/>
    <mergeCell ref="H2:I2"/>
    <mergeCell ref="J2:K2"/>
    <mergeCell ref="L2:L3"/>
    <mergeCell ref="M2:N2"/>
    <mergeCell ref="O2:P2"/>
    <mergeCell ref="Q2:Q3"/>
    <mergeCell ref="R2:R3"/>
    <mergeCell ref="S2:S3"/>
    <mergeCell ref="T2:T3"/>
    <mergeCell ref="V2:V3"/>
    <mergeCell ref="W2:W3"/>
    <mergeCell ref="X2:X3"/>
    <mergeCell ref="Y2:Y3"/>
    <mergeCell ref="Z2:Z3"/>
    <mergeCell ref="AA2:AA3"/>
    <mergeCell ref="AB2:AB3"/>
    <mergeCell ref="AC2:AC3"/>
    <mergeCell ref="AZ2:AZ3"/>
    <mergeCell ref="BA2:BA3"/>
    <mergeCell ref="BB2:BB3"/>
    <mergeCell ref="BC2:BC3"/>
    <mergeCell ref="AT2:AT3"/>
    <mergeCell ref="AU2:AU3"/>
    <mergeCell ref="AV2:AV3"/>
    <mergeCell ref="AW2:AW3"/>
    <mergeCell ref="AX2:AX3"/>
    <mergeCell ref="AY2:AY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G2:AG3"/>
    <mergeCell ref="D43:E43"/>
    <mergeCell ref="F43:G43"/>
    <mergeCell ref="H43:I43"/>
    <mergeCell ref="J43:K43"/>
    <mergeCell ref="M43:N43"/>
    <mergeCell ref="O43:P43"/>
    <mergeCell ref="J41:K41"/>
    <mergeCell ref="M41:N41"/>
    <mergeCell ref="O41:P41"/>
    <mergeCell ref="M42:N42"/>
    <mergeCell ref="O42:P42"/>
    <mergeCell ref="D41:E41"/>
    <mergeCell ref="F41:G41"/>
    <mergeCell ref="H41:I41"/>
    <mergeCell ref="AD2:AD3"/>
  </mergeCells>
  <pageMargins left="0.7" right="0.7" top="0.75" bottom="0.75" header="0.3" footer="0.3"/>
  <pageSetup orientation="portrait" r:id="rId1"/>
  <ignoredErrors>
    <ignoredError sqref="D42 AI34 AI6" formulaRange="1"/>
    <ignoredError sqref="AI35 BB19 BB35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6"/>
  <sheetViews>
    <sheetView zoomScaleNormal="100" workbookViewId="0">
      <pane xSplit="10" ySplit="2" topLeftCell="K12" activePane="bottomRight" state="frozen"/>
      <selection pane="topRight" activeCell="P1" sqref="P1"/>
      <selection pane="bottomLeft" activeCell="A4" sqref="A4"/>
      <selection pane="bottomRight" sqref="A1:J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4" width="8.7109375" style="1" customWidth="1"/>
    <col min="5" max="5" width="12.42578125" style="1" customWidth="1"/>
    <col min="6" max="6" width="11.140625" style="1" customWidth="1"/>
    <col min="7" max="7" width="7.5703125" style="1" customWidth="1"/>
    <col min="8" max="8" width="6.7109375" style="1" customWidth="1"/>
    <col min="9" max="9" width="8.85546875" style="1" customWidth="1"/>
    <col min="10" max="10" width="10" style="1" customWidth="1"/>
    <col min="11" max="11" width="19.140625" style="1" customWidth="1"/>
    <col min="12" max="13" width="16.28515625" style="1" customWidth="1"/>
    <col min="14" max="14" width="17.7109375" style="1" customWidth="1"/>
    <col min="15" max="15" width="16.5703125" style="1" customWidth="1"/>
    <col min="16" max="16" width="14.5703125" customWidth="1"/>
  </cols>
  <sheetData>
    <row r="1" spans="1:20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12" t="s">
        <v>728</v>
      </c>
      <c r="L1" s="12" t="s">
        <v>729</v>
      </c>
      <c r="M1" s="12" t="s">
        <v>730</v>
      </c>
      <c r="N1" s="12" t="s">
        <v>731</v>
      </c>
      <c r="O1" s="12" t="s">
        <v>732</v>
      </c>
      <c r="P1" s="12" t="s">
        <v>749</v>
      </c>
    </row>
    <row r="2" spans="1:20" s="1" customFormat="1" ht="30" customHeight="1" thickBot="1" x14ac:dyDescent="0.3">
      <c r="A2" s="13" t="s">
        <v>137</v>
      </c>
      <c r="B2" s="13" t="s">
        <v>26</v>
      </c>
      <c r="C2" s="13" t="s">
        <v>25</v>
      </c>
      <c r="D2" s="13" t="s">
        <v>27</v>
      </c>
      <c r="E2" s="13" t="s">
        <v>28</v>
      </c>
      <c r="F2" s="13" t="s">
        <v>32</v>
      </c>
      <c r="G2" s="13" t="s">
        <v>33</v>
      </c>
      <c r="H2" s="13" t="s">
        <v>363</v>
      </c>
      <c r="I2" s="13" t="s">
        <v>29</v>
      </c>
      <c r="J2" s="13" t="s">
        <v>30</v>
      </c>
      <c r="K2" s="13" t="s">
        <v>41</v>
      </c>
      <c r="L2" s="13" t="s">
        <v>41</v>
      </c>
      <c r="M2" s="13" t="s">
        <v>41</v>
      </c>
      <c r="N2" s="13" t="s">
        <v>41</v>
      </c>
      <c r="O2" s="13" t="s">
        <v>41</v>
      </c>
      <c r="P2" s="13" t="s">
        <v>41</v>
      </c>
      <c r="Q2" s="14"/>
      <c r="R2" s="14"/>
      <c r="S2" s="14"/>
      <c r="T2" s="14"/>
    </row>
    <row r="3" spans="1:20" s="1" customFormat="1" x14ac:dyDescent="0.25">
      <c r="A3" s="148" t="s">
        <v>138</v>
      </c>
      <c r="B3" s="111" t="s">
        <v>346</v>
      </c>
      <c r="C3" s="185" t="s">
        <v>612</v>
      </c>
      <c r="D3" s="186"/>
      <c r="E3" s="187"/>
      <c r="F3" s="187"/>
      <c r="G3" s="186"/>
      <c r="H3" s="187">
        <v>0</v>
      </c>
      <c r="I3" s="187">
        <v>0</v>
      </c>
      <c r="J3" s="188">
        <v>1</v>
      </c>
      <c r="K3" s="186" t="s">
        <v>34</v>
      </c>
      <c r="L3" s="114" t="s">
        <v>34</v>
      </c>
      <c r="M3" s="114" t="s">
        <v>34</v>
      </c>
      <c r="N3" s="114" t="s">
        <v>34</v>
      </c>
      <c r="O3" s="189">
        <v>0</v>
      </c>
      <c r="P3" s="188">
        <f>SUM(K3:O3)</f>
        <v>0</v>
      </c>
      <c r="Q3" s="14"/>
      <c r="R3" s="14"/>
      <c r="S3" s="14"/>
      <c r="T3" s="14"/>
    </row>
    <row r="4" spans="1:20" x14ac:dyDescent="0.25">
      <c r="A4" s="27" t="s">
        <v>138</v>
      </c>
      <c r="B4" s="274" t="s">
        <v>586</v>
      </c>
      <c r="C4" s="275" t="s">
        <v>483</v>
      </c>
      <c r="D4" s="51">
        <v>-2</v>
      </c>
      <c r="E4" s="72"/>
      <c r="F4" s="117"/>
      <c r="G4" s="117"/>
      <c r="H4" s="72">
        <v>1</v>
      </c>
      <c r="I4" s="117">
        <v>1</v>
      </c>
      <c r="J4" s="117">
        <v>4</v>
      </c>
      <c r="K4" s="281">
        <v>0</v>
      </c>
      <c r="L4" s="281">
        <v>0</v>
      </c>
      <c r="M4" s="281">
        <v>0</v>
      </c>
      <c r="N4" s="281">
        <v>0</v>
      </c>
      <c r="O4" s="101">
        <v>90</v>
      </c>
      <c r="P4" s="117">
        <f>SUM(K4:O4)</f>
        <v>90</v>
      </c>
      <c r="Q4" s="75"/>
      <c r="R4" s="75"/>
      <c r="S4" s="75"/>
      <c r="T4" s="75"/>
    </row>
    <row r="5" spans="1:20" x14ac:dyDescent="0.25">
      <c r="A5" s="27" t="s">
        <v>138</v>
      </c>
      <c r="B5" s="274" t="s">
        <v>603</v>
      </c>
      <c r="C5" s="275" t="s">
        <v>511</v>
      </c>
      <c r="D5" s="51">
        <v>-8</v>
      </c>
      <c r="E5" s="72"/>
      <c r="F5" s="117"/>
      <c r="G5" s="117"/>
      <c r="H5" s="72">
        <v>4</v>
      </c>
      <c r="I5" s="117">
        <v>4</v>
      </c>
      <c r="J5" s="117">
        <v>0</v>
      </c>
      <c r="K5" s="151">
        <v>90</v>
      </c>
      <c r="L5" s="147">
        <v>90</v>
      </c>
      <c r="M5" s="147">
        <v>90</v>
      </c>
      <c r="N5" s="147">
        <v>90</v>
      </c>
      <c r="O5" s="101" t="s">
        <v>34</v>
      </c>
      <c r="P5" s="117">
        <f t="shared" ref="P5:P35" si="0">SUM(K5:O5)</f>
        <v>360</v>
      </c>
      <c r="Q5" s="75"/>
      <c r="R5" s="75"/>
      <c r="S5" s="75"/>
      <c r="T5" s="75"/>
    </row>
    <row r="6" spans="1:20" x14ac:dyDescent="0.25">
      <c r="A6" s="28" t="s">
        <v>141</v>
      </c>
      <c r="B6" s="274" t="s">
        <v>579</v>
      </c>
      <c r="C6" s="275" t="s">
        <v>580</v>
      </c>
      <c r="D6" s="51">
        <v>2</v>
      </c>
      <c r="E6" s="72"/>
      <c r="F6" s="117"/>
      <c r="G6" s="117"/>
      <c r="H6" s="72">
        <v>4</v>
      </c>
      <c r="I6" s="117">
        <v>4</v>
      </c>
      <c r="J6" s="117">
        <v>1</v>
      </c>
      <c r="K6" s="151">
        <v>90</v>
      </c>
      <c r="L6" s="147">
        <v>90</v>
      </c>
      <c r="M6" s="147">
        <v>90</v>
      </c>
      <c r="N6" s="147">
        <v>90</v>
      </c>
      <c r="O6" s="289">
        <v>0</v>
      </c>
      <c r="P6" s="117">
        <f t="shared" si="0"/>
        <v>360</v>
      </c>
      <c r="Q6" s="75"/>
      <c r="R6" s="75"/>
      <c r="S6" s="75"/>
      <c r="T6" s="75"/>
    </row>
    <row r="7" spans="1:20" x14ac:dyDescent="0.25">
      <c r="A7" s="28" t="s">
        <v>141</v>
      </c>
      <c r="B7" s="274" t="s">
        <v>661</v>
      </c>
      <c r="C7" s="275" t="s">
        <v>662</v>
      </c>
      <c r="D7" s="51"/>
      <c r="E7" s="72"/>
      <c r="F7" s="117"/>
      <c r="G7" s="117">
        <v>1</v>
      </c>
      <c r="H7" s="72">
        <v>3</v>
      </c>
      <c r="I7" s="117">
        <v>3</v>
      </c>
      <c r="J7" s="117">
        <v>0</v>
      </c>
      <c r="K7" s="151">
        <v>90</v>
      </c>
      <c r="L7" s="151">
        <v>90</v>
      </c>
      <c r="M7" s="147" t="s">
        <v>34</v>
      </c>
      <c r="N7" s="151">
        <v>90</v>
      </c>
      <c r="O7" s="101" t="s">
        <v>34</v>
      </c>
      <c r="P7" s="117">
        <f t="shared" si="0"/>
        <v>270</v>
      </c>
      <c r="Q7" s="75"/>
      <c r="R7" s="75"/>
      <c r="S7" s="75"/>
      <c r="T7" s="75"/>
    </row>
    <row r="8" spans="1:20" x14ac:dyDescent="0.25">
      <c r="A8" s="28" t="s">
        <v>141</v>
      </c>
      <c r="B8" s="274" t="s">
        <v>597</v>
      </c>
      <c r="C8" s="275" t="s">
        <v>598</v>
      </c>
      <c r="D8" s="51">
        <v>1</v>
      </c>
      <c r="E8" s="72"/>
      <c r="F8" s="117">
        <v>2</v>
      </c>
      <c r="G8" s="117"/>
      <c r="H8" s="72">
        <v>5</v>
      </c>
      <c r="I8" s="117">
        <v>1</v>
      </c>
      <c r="J8" s="117">
        <v>4</v>
      </c>
      <c r="K8" s="281">
        <v>13</v>
      </c>
      <c r="L8" s="198">
        <v>29</v>
      </c>
      <c r="M8" s="198">
        <v>22</v>
      </c>
      <c r="N8" s="198">
        <v>22</v>
      </c>
      <c r="O8" s="101">
        <v>73</v>
      </c>
      <c r="P8" s="117">
        <f t="shared" si="0"/>
        <v>159</v>
      </c>
      <c r="Q8" s="75"/>
      <c r="R8" s="75"/>
      <c r="S8" s="75"/>
      <c r="T8" s="75"/>
    </row>
    <row r="9" spans="1:20" x14ac:dyDescent="0.25">
      <c r="A9" s="28" t="s">
        <v>141</v>
      </c>
      <c r="B9" s="274" t="s">
        <v>747</v>
      </c>
      <c r="C9" s="275" t="s">
        <v>504</v>
      </c>
      <c r="D9" s="51"/>
      <c r="E9" s="72"/>
      <c r="F9" s="117"/>
      <c r="G9" s="117"/>
      <c r="H9" s="72">
        <v>0</v>
      </c>
      <c r="I9" s="117">
        <v>0</v>
      </c>
      <c r="J9" s="117">
        <v>0</v>
      </c>
      <c r="K9" s="151" t="s">
        <v>34</v>
      </c>
      <c r="L9" s="147" t="s">
        <v>34</v>
      </c>
      <c r="M9" s="147" t="s">
        <v>34</v>
      </c>
      <c r="N9" s="147" t="s">
        <v>34</v>
      </c>
      <c r="O9" s="101" t="s">
        <v>34</v>
      </c>
      <c r="P9" s="117">
        <f t="shared" si="0"/>
        <v>0</v>
      </c>
      <c r="Q9" s="75"/>
      <c r="R9" s="75"/>
      <c r="S9" s="75"/>
      <c r="T9" s="75"/>
    </row>
    <row r="10" spans="1:20" x14ac:dyDescent="0.25">
      <c r="A10" s="28" t="s">
        <v>141</v>
      </c>
      <c r="B10" s="274" t="s">
        <v>677</v>
      </c>
      <c r="C10" s="275" t="s">
        <v>500</v>
      </c>
      <c r="D10" s="51"/>
      <c r="E10" s="72"/>
      <c r="F10" s="117"/>
      <c r="G10" s="117"/>
      <c r="H10" s="72">
        <v>2</v>
      </c>
      <c r="I10" s="117">
        <v>2</v>
      </c>
      <c r="J10" s="117">
        <v>0</v>
      </c>
      <c r="K10" s="151" t="s">
        <v>34</v>
      </c>
      <c r="L10" s="147" t="s">
        <v>34</v>
      </c>
      <c r="M10" s="147">
        <v>54</v>
      </c>
      <c r="N10" s="147" t="s">
        <v>34</v>
      </c>
      <c r="O10" s="101">
        <v>90</v>
      </c>
      <c r="P10" s="117">
        <f t="shared" si="0"/>
        <v>144</v>
      </c>
      <c r="Q10" s="75"/>
      <c r="R10" s="75"/>
      <c r="S10" s="75"/>
      <c r="T10" s="75"/>
    </row>
    <row r="11" spans="1:20" x14ac:dyDescent="0.25">
      <c r="A11" s="28" t="s">
        <v>141</v>
      </c>
      <c r="B11" s="274" t="s">
        <v>665</v>
      </c>
      <c r="C11" s="275" t="s">
        <v>666</v>
      </c>
      <c r="D11" s="51"/>
      <c r="E11" s="72"/>
      <c r="F11" s="117"/>
      <c r="G11" s="117"/>
      <c r="H11" s="72">
        <v>2</v>
      </c>
      <c r="I11" s="117">
        <v>2</v>
      </c>
      <c r="J11" s="117">
        <v>1</v>
      </c>
      <c r="K11" s="151" t="s">
        <v>34</v>
      </c>
      <c r="L11" s="151">
        <v>90</v>
      </c>
      <c r="M11" s="198">
        <v>0</v>
      </c>
      <c r="N11" s="151" t="s">
        <v>34</v>
      </c>
      <c r="O11" s="101">
        <v>90</v>
      </c>
      <c r="P11" s="117">
        <f t="shared" si="0"/>
        <v>180</v>
      </c>
      <c r="Q11" s="75"/>
      <c r="R11" s="75"/>
      <c r="S11" s="75"/>
      <c r="T11" s="75"/>
    </row>
    <row r="12" spans="1:20" x14ac:dyDescent="0.25">
      <c r="A12" s="28" t="s">
        <v>141</v>
      </c>
      <c r="B12" s="274" t="s">
        <v>337</v>
      </c>
      <c r="C12" s="275" t="s">
        <v>2</v>
      </c>
      <c r="D12" s="51"/>
      <c r="E12" s="72"/>
      <c r="F12" s="117"/>
      <c r="G12" s="117"/>
      <c r="H12" s="72">
        <v>1</v>
      </c>
      <c r="I12" s="117">
        <v>1</v>
      </c>
      <c r="J12" s="117">
        <v>1</v>
      </c>
      <c r="K12" s="151" t="s">
        <v>34</v>
      </c>
      <c r="L12" s="147" t="s">
        <v>34</v>
      </c>
      <c r="M12" s="198">
        <v>0</v>
      </c>
      <c r="N12" s="147" t="s">
        <v>34</v>
      </c>
      <c r="O12" s="101">
        <v>90</v>
      </c>
      <c r="P12" s="117">
        <f t="shared" si="0"/>
        <v>90</v>
      </c>
      <c r="Q12" s="75"/>
      <c r="R12" s="75"/>
      <c r="S12" s="75"/>
      <c r="T12" s="75"/>
    </row>
    <row r="13" spans="1:20" x14ac:dyDescent="0.25">
      <c r="A13" s="28" t="s">
        <v>141</v>
      </c>
      <c r="B13" s="274" t="s">
        <v>663</v>
      </c>
      <c r="C13" s="275" t="s">
        <v>588</v>
      </c>
      <c r="D13" s="51"/>
      <c r="E13" s="72"/>
      <c r="F13" s="117"/>
      <c r="G13" s="117"/>
      <c r="H13" s="72">
        <v>2</v>
      </c>
      <c r="I13" s="117">
        <v>2</v>
      </c>
      <c r="J13" s="117">
        <v>1</v>
      </c>
      <c r="K13" s="151" t="s">
        <v>34</v>
      </c>
      <c r="L13" s="198">
        <v>0</v>
      </c>
      <c r="M13" s="147">
        <v>90</v>
      </c>
      <c r="N13" s="147">
        <v>90</v>
      </c>
      <c r="O13" s="101" t="s">
        <v>34</v>
      </c>
      <c r="P13" s="117">
        <f t="shared" si="0"/>
        <v>180</v>
      </c>
      <c r="Q13" s="75"/>
      <c r="R13" s="75"/>
      <c r="S13" s="75"/>
      <c r="T13" s="75"/>
    </row>
    <row r="14" spans="1:20" x14ac:dyDescent="0.25">
      <c r="A14" s="28" t="s">
        <v>141</v>
      </c>
      <c r="B14" s="274" t="s">
        <v>733</v>
      </c>
      <c r="C14" s="275" t="s">
        <v>734</v>
      </c>
      <c r="D14" s="51"/>
      <c r="E14" s="72"/>
      <c r="F14" s="117">
        <v>1</v>
      </c>
      <c r="G14" s="117"/>
      <c r="H14" s="72">
        <v>4</v>
      </c>
      <c r="I14" s="117">
        <v>1</v>
      </c>
      <c r="J14" s="117">
        <v>4</v>
      </c>
      <c r="K14" s="281">
        <v>39</v>
      </c>
      <c r="L14" s="198">
        <v>2</v>
      </c>
      <c r="M14" s="198">
        <v>0</v>
      </c>
      <c r="N14" s="198">
        <v>22</v>
      </c>
      <c r="O14" s="101">
        <v>90</v>
      </c>
      <c r="P14" s="117">
        <f t="shared" si="0"/>
        <v>153</v>
      </c>
      <c r="Q14" s="75"/>
      <c r="R14" s="75"/>
      <c r="S14" s="75"/>
      <c r="T14" s="75"/>
    </row>
    <row r="15" spans="1:20" x14ac:dyDescent="0.25">
      <c r="A15" s="28" t="s">
        <v>141</v>
      </c>
      <c r="B15" s="274" t="s">
        <v>735</v>
      </c>
      <c r="C15" s="275" t="s">
        <v>736</v>
      </c>
      <c r="D15" s="51"/>
      <c r="E15" s="72"/>
      <c r="F15" s="117">
        <v>1</v>
      </c>
      <c r="G15" s="117"/>
      <c r="H15" s="72">
        <v>1</v>
      </c>
      <c r="I15" s="117">
        <v>1</v>
      </c>
      <c r="J15" s="117">
        <v>0</v>
      </c>
      <c r="K15" s="151">
        <v>51</v>
      </c>
      <c r="L15" s="147" t="s">
        <v>34</v>
      </c>
      <c r="M15" s="147" t="s">
        <v>34</v>
      </c>
      <c r="N15" s="147" t="s">
        <v>34</v>
      </c>
      <c r="O15" s="101" t="s">
        <v>34</v>
      </c>
      <c r="P15" s="117">
        <f t="shared" si="0"/>
        <v>51</v>
      </c>
      <c r="Q15" s="75"/>
      <c r="R15" s="75"/>
      <c r="S15" s="75"/>
      <c r="T15" s="75"/>
    </row>
    <row r="16" spans="1:20" x14ac:dyDescent="0.25">
      <c r="A16" s="28" t="s">
        <v>141</v>
      </c>
      <c r="B16" s="274" t="s">
        <v>664</v>
      </c>
      <c r="C16" s="275" t="s">
        <v>12</v>
      </c>
      <c r="D16" s="51"/>
      <c r="E16" s="72"/>
      <c r="F16" s="117">
        <v>1</v>
      </c>
      <c r="G16" s="117"/>
      <c r="H16" s="72">
        <v>4</v>
      </c>
      <c r="I16" s="117">
        <v>4</v>
      </c>
      <c r="J16" s="117">
        <v>0</v>
      </c>
      <c r="K16" s="151">
        <v>90</v>
      </c>
      <c r="L16" s="147">
        <v>90</v>
      </c>
      <c r="M16" s="147">
        <v>90</v>
      </c>
      <c r="N16" s="147">
        <v>82</v>
      </c>
      <c r="O16" s="101" t="s">
        <v>34</v>
      </c>
      <c r="P16" s="117">
        <f t="shared" si="0"/>
        <v>352</v>
      </c>
      <c r="Q16" s="75"/>
      <c r="R16" s="75"/>
      <c r="S16" s="75"/>
      <c r="T16" s="75"/>
    </row>
    <row r="17" spans="1:20" x14ac:dyDescent="0.25">
      <c r="A17" s="29" t="s">
        <v>139</v>
      </c>
      <c r="B17" s="274" t="s">
        <v>960</v>
      </c>
      <c r="C17" s="275" t="s">
        <v>483</v>
      </c>
      <c r="D17" s="51"/>
      <c r="E17" s="72"/>
      <c r="F17" s="117"/>
      <c r="G17" s="117"/>
      <c r="H17" s="72">
        <v>0</v>
      </c>
      <c r="I17" s="117">
        <v>0</v>
      </c>
      <c r="J17" s="117">
        <v>0</v>
      </c>
      <c r="K17" s="151" t="s">
        <v>34</v>
      </c>
      <c r="L17" s="147" t="s">
        <v>34</v>
      </c>
      <c r="M17" s="147" t="s">
        <v>34</v>
      </c>
      <c r="N17" s="147" t="s">
        <v>34</v>
      </c>
      <c r="O17" s="101" t="s">
        <v>34</v>
      </c>
      <c r="P17" s="117">
        <f t="shared" si="0"/>
        <v>0</v>
      </c>
      <c r="Q17" s="75"/>
      <c r="R17" s="75"/>
      <c r="S17" s="75"/>
      <c r="T17" s="75"/>
    </row>
    <row r="18" spans="1:20" x14ac:dyDescent="0.25">
      <c r="A18" s="29" t="s">
        <v>139</v>
      </c>
      <c r="B18" s="274" t="s">
        <v>582</v>
      </c>
      <c r="C18" s="275" t="s">
        <v>583</v>
      </c>
      <c r="D18" s="51"/>
      <c r="E18" s="72"/>
      <c r="F18" s="117"/>
      <c r="G18" s="117"/>
      <c r="H18" s="72">
        <v>5</v>
      </c>
      <c r="I18" s="117">
        <v>4</v>
      </c>
      <c r="J18" s="117">
        <v>1</v>
      </c>
      <c r="K18" s="151">
        <v>81</v>
      </c>
      <c r="L18" s="147">
        <v>90</v>
      </c>
      <c r="M18" s="147">
        <v>90</v>
      </c>
      <c r="N18" s="147">
        <v>90</v>
      </c>
      <c r="O18" s="289">
        <v>17</v>
      </c>
      <c r="P18" s="117">
        <f t="shared" si="0"/>
        <v>368</v>
      </c>
      <c r="Q18" s="75"/>
      <c r="R18" s="75"/>
      <c r="S18" s="75"/>
      <c r="T18" s="75"/>
    </row>
    <row r="19" spans="1:20" x14ac:dyDescent="0.25">
      <c r="A19" s="29" t="s">
        <v>139</v>
      </c>
      <c r="B19" s="274" t="s">
        <v>669</v>
      </c>
      <c r="C19" s="275" t="s">
        <v>924</v>
      </c>
      <c r="D19" s="51"/>
      <c r="E19" s="72"/>
      <c r="F19" s="117">
        <v>2</v>
      </c>
      <c r="G19" s="117"/>
      <c r="H19" s="72">
        <v>5</v>
      </c>
      <c r="I19" s="117">
        <v>3</v>
      </c>
      <c r="J19" s="117">
        <v>2</v>
      </c>
      <c r="K19" s="281">
        <v>9</v>
      </c>
      <c r="L19" s="198">
        <v>29</v>
      </c>
      <c r="M19" s="151">
        <v>68</v>
      </c>
      <c r="N19" s="151">
        <v>65</v>
      </c>
      <c r="O19" s="101">
        <v>73</v>
      </c>
      <c r="P19" s="117">
        <f t="shared" si="0"/>
        <v>244</v>
      </c>
      <c r="Q19" s="75"/>
      <c r="R19" s="75"/>
      <c r="S19" s="75"/>
      <c r="T19" s="75"/>
    </row>
    <row r="20" spans="1:20" x14ac:dyDescent="0.25">
      <c r="A20" s="29" t="s">
        <v>139</v>
      </c>
      <c r="B20" s="274" t="s">
        <v>599</v>
      </c>
      <c r="C20" s="275" t="s">
        <v>925</v>
      </c>
      <c r="D20" s="51"/>
      <c r="E20" s="72"/>
      <c r="F20" s="117"/>
      <c r="G20" s="117"/>
      <c r="H20" s="72">
        <v>1</v>
      </c>
      <c r="I20" s="117">
        <v>0</v>
      </c>
      <c r="J20" s="117">
        <v>2</v>
      </c>
      <c r="K20" s="281">
        <v>0</v>
      </c>
      <c r="L20" s="198">
        <v>13</v>
      </c>
      <c r="M20" s="147" t="s">
        <v>34</v>
      </c>
      <c r="N20" s="147" t="s">
        <v>34</v>
      </c>
      <c r="O20" s="101" t="s">
        <v>34</v>
      </c>
      <c r="P20" s="117">
        <f t="shared" si="0"/>
        <v>13</v>
      </c>
      <c r="Q20" s="75"/>
      <c r="R20" s="75"/>
      <c r="S20" s="75"/>
      <c r="T20" s="75"/>
    </row>
    <row r="21" spans="1:20" x14ac:dyDescent="0.25">
      <c r="A21" s="29" t="s">
        <v>139</v>
      </c>
      <c r="B21" s="274" t="s">
        <v>761</v>
      </c>
      <c r="C21" s="275" t="s">
        <v>15</v>
      </c>
      <c r="D21" s="51"/>
      <c r="E21" s="72"/>
      <c r="F21" s="117"/>
      <c r="G21" s="117"/>
      <c r="H21" s="72">
        <v>0</v>
      </c>
      <c r="I21" s="117">
        <v>0</v>
      </c>
      <c r="J21" s="117">
        <v>0</v>
      </c>
      <c r="K21" s="151" t="s">
        <v>34</v>
      </c>
      <c r="L21" s="147" t="s">
        <v>34</v>
      </c>
      <c r="M21" s="147" t="s">
        <v>34</v>
      </c>
      <c r="N21" s="147" t="s">
        <v>34</v>
      </c>
      <c r="O21" s="101" t="s">
        <v>34</v>
      </c>
      <c r="P21" s="117">
        <f t="shared" si="0"/>
        <v>0</v>
      </c>
      <c r="Q21" s="75"/>
      <c r="R21" s="75"/>
      <c r="S21" s="75"/>
      <c r="T21" s="75"/>
    </row>
    <row r="22" spans="1:20" x14ac:dyDescent="0.25">
      <c r="A22" s="29" t="s">
        <v>139</v>
      </c>
      <c r="B22" s="274" t="s">
        <v>670</v>
      </c>
      <c r="C22" s="275" t="s">
        <v>936</v>
      </c>
      <c r="D22" s="51"/>
      <c r="E22" s="72"/>
      <c r="F22" s="117">
        <v>1</v>
      </c>
      <c r="G22" s="117">
        <v>1</v>
      </c>
      <c r="H22" s="72">
        <v>2</v>
      </c>
      <c r="I22" s="117">
        <v>2</v>
      </c>
      <c r="J22" s="117">
        <v>0</v>
      </c>
      <c r="K22" s="151">
        <v>90</v>
      </c>
      <c r="L22" s="147">
        <v>90</v>
      </c>
      <c r="M22" s="147" t="s">
        <v>34</v>
      </c>
      <c r="N22" s="147" t="s">
        <v>34</v>
      </c>
      <c r="O22" s="101" t="s">
        <v>34</v>
      </c>
      <c r="P22" s="117">
        <f t="shared" si="0"/>
        <v>180</v>
      </c>
      <c r="Q22" s="75"/>
      <c r="R22" s="75"/>
      <c r="S22" s="75"/>
      <c r="T22" s="75"/>
    </row>
    <row r="23" spans="1:20" x14ac:dyDescent="0.25">
      <c r="A23" s="29" t="s">
        <v>139</v>
      </c>
      <c r="B23" s="274" t="s">
        <v>759</v>
      </c>
      <c r="C23" s="275" t="s">
        <v>760</v>
      </c>
      <c r="D23" s="51"/>
      <c r="E23" s="72"/>
      <c r="F23" s="117"/>
      <c r="G23" s="117"/>
      <c r="H23" s="72">
        <v>0</v>
      </c>
      <c r="I23" s="117">
        <v>0</v>
      </c>
      <c r="J23" s="117">
        <v>0</v>
      </c>
      <c r="K23" s="151" t="s">
        <v>34</v>
      </c>
      <c r="L23" s="147" t="s">
        <v>34</v>
      </c>
      <c r="M23" s="147" t="s">
        <v>34</v>
      </c>
      <c r="N23" s="147" t="s">
        <v>34</v>
      </c>
      <c r="O23" s="101" t="s">
        <v>34</v>
      </c>
      <c r="P23" s="117">
        <f t="shared" si="0"/>
        <v>0</v>
      </c>
      <c r="Q23" s="75"/>
      <c r="R23" s="75"/>
      <c r="S23" s="75"/>
      <c r="T23" s="75"/>
    </row>
    <row r="24" spans="1:20" x14ac:dyDescent="0.25">
      <c r="A24" s="29" t="s">
        <v>139</v>
      </c>
      <c r="B24" s="274" t="s">
        <v>486</v>
      </c>
      <c r="C24" s="275" t="s">
        <v>938</v>
      </c>
      <c r="D24" s="51"/>
      <c r="E24" s="72"/>
      <c r="F24" s="117">
        <v>2</v>
      </c>
      <c r="G24" s="117"/>
      <c r="H24" s="72">
        <v>4</v>
      </c>
      <c r="I24" s="117">
        <v>4</v>
      </c>
      <c r="J24" s="117">
        <v>1</v>
      </c>
      <c r="K24" s="151">
        <v>81</v>
      </c>
      <c r="L24" s="147">
        <v>61</v>
      </c>
      <c r="M24" s="147">
        <v>90</v>
      </c>
      <c r="N24" s="147">
        <v>68</v>
      </c>
      <c r="O24" s="289">
        <v>0</v>
      </c>
      <c r="P24" s="117">
        <f t="shared" si="0"/>
        <v>300</v>
      </c>
      <c r="Q24" s="75"/>
      <c r="R24" s="75"/>
      <c r="S24" s="75"/>
      <c r="T24" s="75"/>
    </row>
    <row r="25" spans="1:20" x14ac:dyDescent="0.25">
      <c r="A25" s="29" t="s">
        <v>139</v>
      </c>
      <c r="B25" s="274" t="s">
        <v>604</v>
      </c>
      <c r="C25" s="275" t="s">
        <v>795</v>
      </c>
      <c r="D25" s="51"/>
      <c r="E25" s="72"/>
      <c r="F25" s="117"/>
      <c r="G25" s="117"/>
      <c r="H25" s="72">
        <v>5</v>
      </c>
      <c r="I25" s="117">
        <v>4</v>
      </c>
      <c r="J25" s="117">
        <v>1</v>
      </c>
      <c r="K25" s="151">
        <v>90</v>
      </c>
      <c r="L25" s="147">
        <v>61</v>
      </c>
      <c r="M25" s="147">
        <v>90</v>
      </c>
      <c r="N25" s="147">
        <v>68</v>
      </c>
      <c r="O25" s="289">
        <v>24</v>
      </c>
      <c r="P25" s="117">
        <f t="shared" si="0"/>
        <v>333</v>
      </c>
      <c r="Q25" s="75"/>
      <c r="R25" s="75"/>
      <c r="S25" s="75"/>
      <c r="T25" s="75"/>
    </row>
    <row r="26" spans="1:20" x14ac:dyDescent="0.25">
      <c r="A26" s="29" t="s">
        <v>139</v>
      </c>
      <c r="B26" s="274" t="s">
        <v>590</v>
      </c>
      <c r="C26" s="275" t="s">
        <v>692</v>
      </c>
      <c r="D26" s="51"/>
      <c r="E26" s="72"/>
      <c r="F26" s="117"/>
      <c r="G26" s="117"/>
      <c r="H26" s="72">
        <v>2</v>
      </c>
      <c r="I26" s="117">
        <v>1</v>
      </c>
      <c r="J26" s="117">
        <v>1</v>
      </c>
      <c r="K26" s="151" t="s">
        <v>34</v>
      </c>
      <c r="L26" s="147" t="s">
        <v>34</v>
      </c>
      <c r="M26" s="147" t="s">
        <v>34</v>
      </c>
      <c r="N26" s="198">
        <v>8</v>
      </c>
      <c r="O26" s="101">
        <v>66</v>
      </c>
      <c r="P26" s="117">
        <f t="shared" si="0"/>
        <v>74</v>
      </c>
      <c r="Q26" s="75"/>
      <c r="R26" s="75"/>
      <c r="S26" s="75"/>
      <c r="T26" s="75"/>
    </row>
    <row r="27" spans="1:20" x14ac:dyDescent="0.25">
      <c r="A27" s="29" t="s">
        <v>139</v>
      </c>
      <c r="B27" s="274" t="s">
        <v>682</v>
      </c>
      <c r="C27" s="207" t="s">
        <v>942</v>
      </c>
      <c r="D27" s="51"/>
      <c r="E27" s="72"/>
      <c r="F27" s="117"/>
      <c r="G27" s="117"/>
      <c r="H27" s="72">
        <v>0</v>
      </c>
      <c r="I27" s="117">
        <v>0</v>
      </c>
      <c r="J27" s="117">
        <v>0</v>
      </c>
      <c r="K27" s="151" t="s">
        <v>34</v>
      </c>
      <c r="L27" s="147" t="s">
        <v>34</v>
      </c>
      <c r="M27" s="147" t="s">
        <v>34</v>
      </c>
      <c r="N27" s="147" t="s">
        <v>34</v>
      </c>
      <c r="O27" s="101" t="s">
        <v>34</v>
      </c>
      <c r="P27" s="117">
        <f t="shared" si="0"/>
        <v>0</v>
      </c>
      <c r="Q27" s="75"/>
      <c r="R27" s="75"/>
      <c r="S27" s="75"/>
      <c r="T27" s="75"/>
    </row>
    <row r="28" spans="1:20" x14ac:dyDescent="0.25">
      <c r="A28" s="30" t="s">
        <v>140</v>
      </c>
      <c r="B28" s="274" t="s">
        <v>587</v>
      </c>
      <c r="C28" s="275" t="s">
        <v>588</v>
      </c>
      <c r="D28" s="51"/>
      <c r="E28" s="72"/>
      <c r="F28" s="117"/>
      <c r="G28" s="117"/>
      <c r="H28" s="72">
        <v>4</v>
      </c>
      <c r="I28" s="117">
        <v>1</v>
      </c>
      <c r="J28" s="117">
        <v>4</v>
      </c>
      <c r="K28" s="281">
        <v>9</v>
      </c>
      <c r="L28" s="198">
        <v>0</v>
      </c>
      <c r="M28" s="198">
        <v>36</v>
      </c>
      <c r="N28" s="198">
        <v>25</v>
      </c>
      <c r="O28" s="101">
        <v>90</v>
      </c>
      <c r="P28" s="117">
        <f t="shared" si="0"/>
        <v>160</v>
      </c>
      <c r="Q28" s="75"/>
      <c r="R28" s="75"/>
      <c r="S28" s="75"/>
      <c r="T28" s="75"/>
    </row>
    <row r="29" spans="1:20" x14ac:dyDescent="0.25">
      <c r="A29" s="30" t="s">
        <v>140</v>
      </c>
      <c r="B29" s="274" t="s">
        <v>667</v>
      </c>
      <c r="C29" s="275" t="s">
        <v>668</v>
      </c>
      <c r="D29" s="51"/>
      <c r="E29" s="72"/>
      <c r="F29" s="117"/>
      <c r="G29" s="117"/>
      <c r="H29" s="72">
        <v>0</v>
      </c>
      <c r="I29" s="117">
        <v>0</v>
      </c>
      <c r="J29" s="117">
        <v>0</v>
      </c>
      <c r="K29" s="151" t="s">
        <v>34</v>
      </c>
      <c r="L29" s="151" t="s">
        <v>34</v>
      </c>
      <c r="M29" s="151" t="s">
        <v>34</v>
      </c>
      <c r="N29" s="151" t="s">
        <v>34</v>
      </c>
      <c r="O29" s="101" t="s">
        <v>34</v>
      </c>
      <c r="P29" s="117">
        <f t="shared" si="0"/>
        <v>0</v>
      </c>
      <c r="Q29" s="75"/>
      <c r="R29" s="75"/>
      <c r="S29" s="75"/>
      <c r="T29" s="75"/>
    </row>
    <row r="30" spans="1:20" x14ac:dyDescent="0.25">
      <c r="A30" s="30" t="s">
        <v>140</v>
      </c>
      <c r="B30" s="274" t="s">
        <v>343</v>
      </c>
      <c r="C30" s="207" t="s">
        <v>945</v>
      </c>
      <c r="D30" s="51"/>
      <c r="E30" s="72"/>
      <c r="F30" s="117"/>
      <c r="G30" s="117"/>
      <c r="H30" s="72">
        <v>0</v>
      </c>
      <c r="I30" s="117">
        <v>0</v>
      </c>
      <c r="J30" s="117">
        <v>0</v>
      </c>
      <c r="K30" s="151" t="s">
        <v>34</v>
      </c>
      <c r="L30" s="151" t="s">
        <v>34</v>
      </c>
      <c r="M30" s="151" t="s">
        <v>34</v>
      </c>
      <c r="N30" s="151" t="s">
        <v>34</v>
      </c>
      <c r="O30" s="101" t="s">
        <v>34</v>
      </c>
      <c r="P30" s="117">
        <f t="shared" si="0"/>
        <v>0</v>
      </c>
      <c r="Q30" s="75"/>
      <c r="R30" s="75"/>
      <c r="S30" s="75"/>
      <c r="T30" s="75"/>
    </row>
    <row r="31" spans="1:20" x14ac:dyDescent="0.25">
      <c r="A31" s="30" t="s">
        <v>140</v>
      </c>
      <c r="B31" s="274" t="s">
        <v>356</v>
      </c>
      <c r="C31" s="275" t="s">
        <v>31</v>
      </c>
      <c r="D31" s="51"/>
      <c r="E31" s="72"/>
      <c r="F31" s="117"/>
      <c r="G31" s="117"/>
      <c r="H31" s="72">
        <v>0</v>
      </c>
      <c r="I31" s="117">
        <v>0</v>
      </c>
      <c r="J31" s="117">
        <v>0</v>
      </c>
      <c r="K31" s="151" t="s">
        <v>34</v>
      </c>
      <c r="L31" s="151" t="s">
        <v>34</v>
      </c>
      <c r="M31" s="151" t="s">
        <v>34</v>
      </c>
      <c r="N31" s="151" t="s">
        <v>34</v>
      </c>
      <c r="O31" s="101" t="s">
        <v>34</v>
      </c>
      <c r="P31" s="117">
        <f t="shared" si="0"/>
        <v>0</v>
      </c>
      <c r="Q31" s="75"/>
      <c r="R31" s="75"/>
      <c r="S31" s="75"/>
      <c r="T31" s="75"/>
    </row>
    <row r="32" spans="1:20" x14ac:dyDescent="0.25">
      <c r="A32" s="30" t="s">
        <v>140</v>
      </c>
      <c r="B32" s="274" t="s">
        <v>601</v>
      </c>
      <c r="C32" s="207" t="s">
        <v>952</v>
      </c>
      <c r="D32" s="51"/>
      <c r="E32" s="72"/>
      <c r="F32" s="117"/>
      <c r="G32" s="117"/>
      <c r="H32" s="72">
        <v>5</v>
      </c>
      <c r="I32" s="117">
        <v>4</v>
      </c>
      <c r="J32" s="117">
        <v>1</v>
      </c>
      <c r="K32" s="151">
        <v>81</v>
      </c>
      <c r="L32" s="151">
        <v>88</v>
      </c>
      <c r="M32" s="151">
        <v>90</v>
      </c>
      <c r="N32" s="151">
        <v>90</v>
      </c>
      <c r="O32" s="289">
        <v>30</v>
      </c>
      <c r="P32" s="117">
        <f t="shared" si="0"/>
        <v>379</v>
      </c>
      <c r="Q32" s="75"/>
      <c r="R32" s="75"/>
      <c r="S32" s="75"/>
      <c r="T32" s="75"/>
    </row>
    <row r="33" spans="1:20" x14ac:dyDescent="0.25">
      <c r="A33" s="30" t="s">
        <v>140</v>
      </c>
      <c r="B33" s="274" t="s">
        <v>671</v>
      </c>
      <c r="C33" s="207" t="s">
        <v>950</v>
      </c>
      <c r="D33" s="51"/>
      <c r="E33" s="72"/>
      <c r="F33" s="117">
        <v>1</v>
      </c>
      <c r="G33" s="117"/>
      <c r="H33" s="72">
        <v>2</v>
      </c>
      <c r="I33" s="117">
        <v>1</v>
      </c>
      <c r="J33" s="117">
        <v>1</v>
      </c>
      <c r="K33" s="151" t="s">
        <v>34</v>
      </c>
      <c r="L33" s="151" t="s">
        <v>34</v>
      </c>
      <c r="M33" s="151" t="s">
        <v>34</v>
      </c>
      <c r="N33" s="198">
        <v>22</v>
      </c>
      <c r="O33" s="101">
        <v>90</v>
      </c>
      <c r="P33" s="117">
        <f t="shared" si="0"/>
        <v>112</v>
      </c>
      <c r="Q33" s="75"/>
      <c r="R33" s="75"/>
      <c r="S33" s="75"/>
      <c r="T33" s="75"/>
    </row>
    <row r="34" spans="1:20" x14ac:dyDescent="0.25">
      <c r="A34" s="30" t="s">
        <v>140</v>
      </c>
      <c r="B34" s="274" t="s">
        <v>691</v>
      </c>
      <c r="C34" s="275" t="s">
        <v>674</v>
      </c>
      <c r="D34" s="51"/>
      <c r="E34" s="72"/>
      <c r="F34" s="117"/>
      <c r="G34" s="117"/>
      <c r="H34" s="72">
        <v>3</v>
      </c>
      <c r="I34" s="117">
        <v>1</v>
      </c>
      <c r="J34" s="117">
        <v>3</v>
      </c>
      <c r="K34" s="281">
        <v>9</v>
      </c>
      <c r="L34" s="151" t="s">
        <v>34</v>
      </c>
      <c r="M34" s="198">
        <v>22</v>
      </c>
      <c r="N34" s="198">
        <v>0</v>
      </c>
      <c r="O34" s="101">
        <v>60</v>
      </c>
      <c r="P34" s="117">
        <f t="shared" si="0"/>
        <v>91</v>
      </c>
      <c r="Q34" s="75"/>
      <c r="R34" s="75"/>
      <c r="S34" s="75"/>
      <c r="T34" s="75"/>
    </row>
    <row r="35" spans="1:20" ht="15.75" thickBot="1" x14ac:dyDescent="0.3">
      <c r="A35" s="31" t="s">
        <v>140</v>
      </c>
      <c r="B35" s="283" t="s">
        <v>678</v>
      </c>
      <c r="C35" s="284" t="s">
        <v>679</v>
      </c>
      <c r="D35" s="124">
        <v>2</v>
      </c>
      <c r="E35" s="73"/>
      <c r="F35" s="293"/>
      <c r="G35" s="293"/>
      <c r="H35" s="73">
        <v>5</v>
      </c>
      <c r="I35" s="293">
        <v>4</v>
      </c>
      <c r="J35" s="293">
        <v>1</v>
      </c>
      <c r="K35" s="212">
        <v>77</v>
      </c>
      <c r="L35" s="285">
        <v>77</v>
      </c>
      <c r="M35" s="285">
        <v>68</v>
      </c>
      <c r="N35" s="285">
        <v>68</v>
      </c>
      <c r="O35" s="317">
        <v>17</v>
      </c>
      <c r="P35" s="293">
        <f t="shared" si="0"/>
        <v>307</v>
      </c>
      <c r="Q35" s="75"/>
      <c r="R35" s="75"/>
      <c r="S35" s="75"/>
      <c r="T35" s="75"/>
    </row>
    <row r="36" spans="1:20" x14ac:dyDescent="0.25">
      <c r="A36" s="75"/>
      <c r="B36" s="295"/>
      <c r="C36" s="296" t="s">
        <v>35</v>
      </c>
      <c r="D36" s="230">
        <v>0</v>
      </c>
      <c r="E36" s="297" t="s">
        <v>171</v>
      </c>
      <c r="F36" s="297" t="s">
        <v>171</v>
      </c>
      <c r="G36" s="299" t="s">
        <v>171</v>
      </c>
      <c r="H36" s="298" t="s">
        <v>364</v>
      </c>
      <c r="I36" s="297" t="s">
        <v>171</v>
      </c>
      <c r="J36" s="297" t="s">
        <v>171</v>
      </c>
      <c r="K36" s="318" t="s">
        <v>171</v>
      </c>
      <c r="L36" s="318" t="s">
        <v>171</v>
      </c>
      <c r="M36" s="318" t="s">
        <v>171</v>
      </c>
      <c r="N36" s="318" t="s">
        <v>171</v>
      </c>
      <c r="O36" s="318" t="s">
        <v>171</v>
      </c>
      <c r="P36" s="318" t="s">
        <v>171</v>
      </c>
      <c r="Q36" s="75"/>
      <c r="R36" s="75"/>
      <c r="S36" s="75"/>
      <c r="T36" s="75"/>
    </row>
    <row r="37" spans="1:20" ht="15.75" thickBot="1" x14ac:dyDescent="0.3">
      <c r="A37" s="75"/>
      <c r="B37" s="295"/>
      <c r="C37" s="300" t="s">
        <v>172</v>
      </c>
      <c r="D37" s="73">
        <f>SUM(D6:D36)</f>
        <v>5</v>
      </c>
      <c r="E37" s="73">
        <f>SUM(E6:E36)</f>
        <v>0</v>
      </c>
      <c r="F37" s="73">
        <f>SUM(F3:F36)</f>
        <v>11</v>
      </c>
      <c r="G37" s="73">
        <f>SUM(G3:G36)</f>
        <v>2</v>
      </c>
      <c r="H37" s="301" t="s">
        <v>364</v>
      </c>
      <c r="I37" s="302" t="s">
        <v>171</v>
      </c>
      <c r="J37" s="302" t="s">
        <v>171</v>
      </c>
      <c r="K37" s="301" t="s">
        <v>171</v>
      </c>
      <c r="L37" s="301" t="s">
        <v>171</v>
      </c>
      <c r="M37" s="301" t="s">
        <v>171</v>
      </c>
      <c r="N37" s="301" t="s">
        <v>171</v>
      </c>
      <c r="O37" s="301" t="s">
        <v>171</v>
      </c>
      <c r="P37" s="301" t="s">
        <v>171</v>
      </c>
      <c r="Q37" s="75"/>
      <c r="R37" s="75"/>
      <c r="S37" s="75"/>
      <c r="T37" s="75"/>
    </row>
    <row r="38" spans="1:20" ht="15.75" thickBot="1" x14ac:dyDescent="0.3">
      <c r="A38" s="75"/>
      <c r="B38" s="295"/>
      <c r="C38" s="303" t="s">
        <v>173</v>
      </c>
      <c r="D38" s="73">
        <f>SUM(D6:D36)</f>
        <v>5</v>
      </c>
      <c r="E38" s="73">
        <f>SUM(E6:E36)</f>
        <v>0</v>
      </c>
      <c r="F38" s="73">
        <f>SUM(F3:F36)</f>
        <v>11</v>
      </c>
      <c r="G38" s="73">
        <f>SUM(G3:G36)</f>
        <v>2</v>
      </c>
      <c r="H38" s="305" t="s">
        <v>364</v>
      </c>
      <c r="I38" s="306" t="s">
        <v>171</v>
      </c>
      <c r="J38" s="306" t="s">
        <v>171</v>
      </c>
      <c r="K38" s="305" t="s">
        <v>171</v>
      </c>
      <c r="L38" s="305" t="s">
        <v>171</v>
      </c>
      <c r="M38" s="305" t="s">
        <v>171</v>
      </c>
      <c r="N38" s="305" t="s">
        <v>171</v>
      </c>
      <c r="O38" s="305" t="s">
        <v>171</v>
      </c>
      <c r="P38" s="305" t="s">
        <v>171</v>
      </c>
      <c r="Q38" s="75"/>
      <c r="R38" s="75"/>
      <c r="S38" s="75"/>
      <c r="T38" s="75"/>
    </row>
    <row r="39" spans="1:20" x14ac:dyDescent="0.25">
      <c r="A39" s="75"/>
      <c r="B39" s="75"/>
      <c r="C39" s="7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75"/>
      <c r="Q39" s="75"/>
      <c r="R39" s="75"/>
      <c r="S39" s="75"/>
      <c r="T39" s="75"/>
    </row>
    <row r="40" spans="1:20" x14ac:dyDescent="0.25">
      <c r="A40" s="75"/>
      <c r="B40" s="75"/>
      <c r="C40" s="7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75"/>
      <c r="Q40" s="75"/>
      <c r="R40" s="75"/>
      <c r="S40" s="75"/>
      <c r="T40" s="75"/>
    </row>
    <row r="41" spans="1:20" x14ac:dyDescent="0.25">
      <c r="A41" s="75"/>
      <c r="B41" s="75"/>
      <c r="C41" s="7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75"/>
      <c r="Q41" s="75"/>
      <c r="R41" s="75"/>
      <c r="S41" s="75"/>
      <c r="T41" s="75"/>
    </row>
    <row r="42" spans="1:20" x14ac:dyDescent="0.25">
      <c r="A42" s="75"/>
      <c r="B42" s="75"/>
      <c r="C42" s="7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75"/>
      <c r="Q42" s="75"/>
      <c r="R42" s="75"/>
      <c r="S42" s="75"/>
      <c r="T42" s="75"/>
    </row>
    <row r="43" spans="1:20" x14ac:dyDescent="0.25">
      <c r="A43" s="75"/>
      <c r="B43" s="75"/>
      <c r="C43" s="7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75"/>
      <c r="Q43" s="75"/>
      <c r="R43" s="75"/>
      <c r="S43" s="75"/>
      <c r="T43" s="75"/>
    </row>
    <row r="44" spans="1:20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75"/>
      <c r="Q44" s="75"/>
      <c r="R44" s="75"/>
      <c r="S44" s="75"/>
      <c r="T44" s="75"/>
    </row>
    <row r="45" spans="1:20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75"/>
      <c r="Q45" s="75"/>
      <c r="R45" s="75"/>
      <c r="S45" s="75"/>
      <c r="T45" s="75"/>
    </row>
    <row r="46" spans="1:20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75"/>
      <c r="Q46" s="75"/>
      <c r="R46" s="75"/>
      <c r="S46" s="75"/>
      <c r="T46" s="75"/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P8 P14 P6 P32:P35 P28 P4 P22 P18:P20 P24:P26 D37:D38" formulaRange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D39"/>
  <sheetViews>
    <sheetView zoomScaleNormal="100" workbookViewId="0">
      <pane xSplit="16" ySplit="3" topLeftCell="Q10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16" width="6.7109375" style="1" customWidth="1"/>
    <col min="17" max="18" width="17.28515625" style="1" customWidth="1"/>
    <col min="19" max="19" width="19" style="1" customWidth="1"/>
    <col min="20" max="20" width="16.42578125" style="1" customWidth="1"/>
    <col min="21" max="21" width="17.85546875" style="1" customWidth="1"/>
    <col min="22" max="22" width="16.28515625" style="1" customWidth="1"/>
    <col min="23" max="23" width="16.5703125" style="1" customWidth="1"/>
    <col min="24" max="24" width="17.85546875" style="1" customWidth="1"/>
    <col min="25" max="25" width="16.7109375" style="1" customWidth="1"/>
    <col min="26" max="26" width="16.28515625" style="1" customWidth="1"/>
    <col min="27" max="27" width="18.42578125" style="1" customWidth="1"/>
    <col min="28" max="28" width="17.7109375" style="1" customWidth="1"/>
    <col min="29" max="29" width="16.5703125" style="1" customWidth="1"/>
    <col min="30" max="30" width="15.85546875" customWidth="1"/>
    <col min="31" max="31" width="19" customWidth="1"/>
    <col min="32" max="34" width="15.85546875" customWidth="1"/>
    <col min="35" max="35" width="14.7109375" customWidth="1"/>
    <col min="36" max="36" width="16.85546875" customWidth="1"/>
    <col min="37" max="37" width="15" customWidth="1"/>
    <col min="38" max="38" width="18.85546875" customWidth="1"/>
    <col min="39" max="39" width="13.85546875" customWidth="1"/>
    <col min="40" max="40" width="16.7109375" customWidth="1"/>
    <col min="41" max="41" width="13.85546875" customWidth="1"/>
    <col min="42" max="42" width="15.42578125" customWidth="1"/>
    <col min="43" max="43" width="17.42578125" customWidth="1"/>
    <col min="44" max="44" width="15.140625" customWidth="1"/>
    <col min="45" max="45" width="13.5703125" customWidth="1"/>
  </cols>
  <sheetData>
    <row r="1" spans="1:56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12" t="s">
        <v>769</v>
      </c>
      <c r="R1" s="12" t="s">
        <v>770</v>
      </c>
      <c r="S1" s="12" t="s">
        <v>771</v>
      </c>
      <c r="T1" s="12" t="s">
        <v>772</v>
      </c>
      <c r="U1" s="12" t="s">
        <v>773</v>
      </c>
      <c r="V1" s="12" t="s">
        <v>774</v>
      </c>
      <c r="W1" s="12" t="s">
        <v>812</v>
      </c>
      <c r="X1" s="12" t="s">
        <v>775</v>
      </c>
      <c r="Y1" s="12" t="s">
        <v>776</v>
      </c>
      <c r="Z1" s="12" t="s">
        <v>777</v>
      </c>
      <c r="AA1" s="12" t="s">
        <v>778</v>
      </c>
      <c r="AB1" s="12" t="s">
        <v>779</v>
      </c>
      <c r="AC1" s="12" t="s">
        <v>780</v>
      </c>
      <c r="AD1" s="12" t="s">
        <v>782</v>
      </c>
      <c r="AE1" s="12" t="s">
        <v>783</v>
      </c>
      <c r="AF1" s="12" t="s">
        <v>784</v>
      </c>
      <c r="AG1" s="12" t="s">
        <v>785</v>
      </c>
      <c r="AH1" s="12" t="s">
        <v>786</v>
      </c>
      <c r="AI1" s="12" t="s">
        <v>781</v>
      </c>
      <c r="AJ1" s="12" t="s">
        <v>750</v>
      </c>
      <c r="AK1" s="12" t="s">
        <v>751</v>
      </c>
      <c r="AL1" s="12" t="s">
        <v>752</v>
      </c>
      <c r="AM1" s="12" t="s">
        <v>753</v>
      </c>
      <c r="AN1" s="12" t="s">
        <v>754</v>
      </c>
      <c r="AO1" s="12" t="s">
        <v>755</v>
      </c>
      <c r="AP1" s="12" t="s">
        <v>756</v>
      </c>
      <c r="AQ1" s="12" t="s">
        <v>757</v>
      </c>
      <c r="AR1" s="12" t="s">
        <v>762</v>
      </c>
      <c r="AS1" s="12" t="s">
        <v>811</v>
      </c>
    </row>
    <row r="2" spans="1:56" s="1" customFormat="1" ht="15" customHeight="1" thickBot="1" x14ac:dyDescent="0.3">
      <c r="A2" s="384" t="s">
        <v>137</v>
      </c>
      <c r="B2" s="384" t="s">
        <v>26</v>
      </c>
      <c r="C2" s="384" t="s">
        <v>25</v>
      </c>
      <c r="D2" s="387" t="s">
        <v>27</v>
      </c>
      <c r="E2" s="388"/>
      <c r="F2" s="387" t="s">
        <v>28</v>
      </c>
      <c r="G2" s="388"/>
      <c r="H2" s="387" t="s">
        <v>32</v>
      </c>
      <c r="I2" s="388"/>
      <c r="J2" s="387" t="s">
        <v>33</v>
      </c>
      <c r="K2" s="388"/>
      <c r="L2" s="384" t="s">
        <v>363</v>
      </c>
      <c r="M2" s="387" t="s">
        <v>29</v>
      </c>
      <c r="N2" s="388"/>
      <c r="O2" s="387" t="s">
        <v>30</v>
      </c>
      <c r="P2" s="388"/>
      <c r="Q2" s="384" t="s">
        <v>41</v>
      </c>
      <c r="R2" s="384" t="s">
        <v>41</v>
      </c>
      <c r="S2" s="384" t="s">
        <v>41</v>
      </c>
      <c r="T2" s="384" t="s">
        <v>41</v>
      </c>
      <c r="U2" s="384" t="s">
        <v>41</v>
      </c>
      <c r="V2" s="384" t="s">
        <v>41</v>
      </c>
      <c r="W2" s="384" t="s">
        <v>41</v>
      </c>
      <c r="X2" s="384" t="s">
        <v>41</v>
      </c>
      <c r="Y2" s="384" t="s">
        <v>41</v>
      </c>
      <c r="Z2" s="384" t="s">
        <v>41</v>
      </c>
      <c r="AA2" s="384" t="s">
        <v>41</v>
      </c>
      <c r="AB2" s="384" t="s">
        <v>41</v>
      </c>
      <c r="AC2" s="384" t="s">
        <v>41</v>
      </c>
      <c r="AD2" s="384" t="s">
        <v>41</v>
      </c>
      <c r="AE2" s="384" t="s">
        <v>41</v>
      </c>
      <c r="AF2" s="384" t="s">
        <v>41</v>
      </c>
      <c r="AG2" s="384" t="s">
        <v>41</v>
      </c>
      <c r="AH2" s="384" t="s">
        <v>41</v>
      </c>
      <c r="AI2" s="384" t="s">
        <v>41</v>
      </c>
      <c r="AJ2" s="384" t="s">
        <v>41</v>
      </c>
      <c r="AK2" s="384" t="s">
        <v>41</v>
      </c>
      <c r="AL2" s="384" t="s">
        <v>41</v>
      </c>
      <c r="AM2" s="384" t="s">
        <v>41</v>
      </c>
      <c r="AN2" s="384" t="s">
        <v>41</v>
      </c>
      <c r="AO2" s="384" t="s">
        <v>41</v>
      </c>
      <c r="AP2" s="384" t="s">
        <v>41</v>
      </c>
      <c r="AQ2" s="384" t="s">
        <v>41</v>
      </c>
      <c r="AR2" s="384" t="s">
        <v>41</v>
      </c>
      <c r="AS2" s="384" t="s">
        <v>41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s="1" customFormat="1" ht="15" customHeight="1" thickBot="1" x14ac:dyDescent="0.3">
      <c r="A3" s="385"/>
      <c r="B3" s="385"/>
      <c r="C3" s="385"/>
      <c r="D3" s="54" t="s">
        <v>169</v>
      </c>
      <c r="E3" s="54" t="s">
        <v>170</v>
      </c>
      <c r="F3" s="54" t="s">
        <v>169</v>
      </c>
      <c r="G3" s="54" t="s">
        <v>170</v>
      </c>
      <c r="H3" s="54" t="s">
        <v>169</v>
      </c>
      <c r="I3" s="54" t="s">
        <v>170</v>
      </c>
      <c r="J3" s="54" t="s">
        <v>169</v>
      </c>
      <c r="K3" s="54" t="s">
        <v>170</v>
      </c>
      <c r="L3" s="385"/>
      <c r="M3" s="54" t="s">
        <v>169</v>
      </c>
      <c r="N3" s="54" t="s">
        <v>170</v>
      </c>
      <c r="O3" s="54" t="s">
        <v>169</v>
      </c>
      <c r="P3" s="54" t="s">
        <v>170</v>
      </c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1:56" s="1" customFormat="1" ht="15" customHeight="1" x14ac:dyDescent="0.25">
      <c r="A4" s="148" t="s">
        <v>138</v>
      </c>
      <c r="B4" s="107" t="s">
        <v>758</v>
      </c>
      <c r="C4" s="108" t="s">
        <v>787</v>
      </c>
      <c r="D4" s="152">
        <v>-19</v>
      </c>
      <c r="E4" s="14"/>
      <c r="F4" s="152"/>
      <c r="G4" s="14"/>
      <c r="H4" s="152">
        <v>1</v>
      </c>
      <c r="I4" s="162"/>
      <c r="J4" s="152"/>
      <c r="K4" s="14"/>
      <c r="L4" s="25">
        <v>13</v>
      </c>
      <c r="M4" s="157">
        <v>12</v>
      </c>
      <c r="N4" s="161">
        <v>0</v>
      </c>
      <c r="O4" s="157">
        <v>4</v>
      </c>
      <c r="P4" s="161">
        <v>5</v>
      </c>
      <c r="Q4" s="160">
        <v>90</v>
      </c>
      <c r="R4" s="109">
        <v>90</v>
      </c>
      <c r="S4" s="109">
        <v>90</v>
      </c>
      <c r="T4" s="109">
        <v>90</v>
      </c>
      <c r="U4" s="109">
        <v>90</v>
      </c>
      <c r="V4" s="109">
        <v>90</v>
      </c>
      <c r="W4" s="109">
        <v>90</v>
      </c>
      <c r="X4" s="156">
        <v>90</v>
      </c>
      <c r="Y4" s="14">
        <v>90</v>
      </c>
      <c r="Z4" s="109">
        <v>90</v>
      </c>
      <c r="AA4" s="109">
        <v>90</v>
      </c>
      <c r="AB4" s="109">
        <v>90</v>
      </c>
      <c r="AC4" s="167">
        <v>0</v>
      </c>
      <c r="AD4" s="167">
        <v>0</v>
      </c>
      <c r="AE4" s="167">
        <v>0</v>
      </c>
      <c r="AF4" s="167">
        <v>0</v>
      </c>
      <c r="AG4" s="160" t="s">
        <v>34</v>
      </c>
      <c r="AH4" s="117" t="s">
        <v>34</v>
      </c>
      <c r="AI4" s="117">
        <f>SUM(Q4:AH4)</f>
        <v>1080</v>
      </c>
      <c r="AJ4" s="149">
        <v>0</v>
      </c>
      <c r="AK4" s="150">
        <v>0</v>
      </c>
      <c r="AL4" s="150">
        <v>0</v>
      </c>
      <c r="AM4" s="150">
        <v>0</v>
      </c>
      <c r="AN4" s="109" t="s">
        <v>34</v>
      </c>
      <c r="AO4" s="150">
        <v>1</v>
      </c>
      <c r="AP4" s="109" t="s">
        <v>34</v>
      </c>
      <c r="AQ4" s="14" t="s">
        <v>34</v>
      </c>
      <c r="AR4" s="72">
        <f>SUM(AJ4:AQ4)</f>
        <v>1</v>
      </c>
      <c r="AS4" s="72">
        <f>SUM(AI4+AR4)</f>
        <v>1081</v>
      </c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</row>
    <row r="5" spans="1:56" s="1" customFormat="1" x14ac:dyDescent="0.25">
      <c r="A5" s="27" t="s">
        <v>138</v>
      </c>
      <c r="B5" s="145" t="s">
        <v>346</v>
      </c>
      <c r="C5" s="146" t="s">
        <v>612</v>
      </c>
      <c r="D5" s="115"/>
      <c r="E5" s="151"/>
      <c r="F5" s="115"/>
      <c r="G5" s="151"/>
      <c r="H5" s="115"/>
      <c r="I5" s="151"/>
      <c r="J5" s="115"/>
      <c r="K5" s="51"/>
      <c r="L5" s="72">
        <v>0</v>
      </c>
      <c r="M5" s="127">
        <v>0</v>
      </c>
      <c r="N5" s="101">
        <v>0</v>
      </c>
      <c r="O5" s="127">
        <v>1</v>
      </c>
      <c r="P5" s="101">
        <v>2</v>
      </c>
      <c r="Q5" s="51" t="s">
        <v>34</v>
      </c>
      <c r="R5" s="147" t="s">
        <v>34</v>
      </c>
      <c r="S5" s="147" t="s">
        <v>34</v>
      </c>
      <c r="T5" s="147" t="s">
        <v>34</v>
      </c>
      <c r="U5" s="51" t="s">
        <v>34</v>
      </c>
      <c r="V5" s="147" t="s">
        <v>34</v>
      </c>
      <c r="W5" s="147" t="s">
        <v>34</v>
      </c>
      <c r="X5" s="147" t="s">
        <v>34</v>
      </c>
      <c r="Y5" s="51" t="s">
        <v>34</v>
      </c>
      <c r="Z5" s="147" t="s">
        <v>34</v>
      </c>
      <c r="AA5" s="147" t="s">
        <v>34</v>
      </c>
      <c r="AB5" s="147" t="s">
        <v>34</v>
      </c>
      <c r="AC5" s="147" t="s">
        <v>34</v>
      </c>
      <c r="AD5" s="51" t="s">
        <v>34</v>
      </c>
      <c r="AE5" s="280" t="s">
        <v>34</v>
      </c>
      <c r="AF5" s="147" t="s">
        <v>34</v>
      </c>
      <c r="AG5" s="198">
        <v>0</v>
      </c>
      <c r="AH5" s="117" t="s">
        <v>34</v>
      </c>
      <c r="AI5" s="117">
        <f t="shared" ref="AI5:AI34" si="0">SUM(Q5:AH5)</f>
        <v>0</v>
      </c>
      <c r="AJ5" s="51" t="s">
        <v>34</v>
      </c>
      <c r="AK5" s="147" t="s">
        <v>34</v>
      </c>
      <c r="AL5" s="147" t="s">
        <v>34</v>
      </c>
      <c r="AM5" s="147" t="s">
        <v>34</v>
      </c>
      <c r="AN5" s="51" t="s">
        <v>34</v>
      </c>
      <c r="AO5" s="147" t="s">
        <v>34</v>
      </c>
      <c r="AP5" s="198">
        <v>0</v>
      </c>
      <c r="AQ5" s="154">
        <v>0</v>
      </c>
      <c r="AR5" s="72">
        <f>SUM(AJ5:AQ5)</f>
        <v>0</v>
      </c>
      <c r="AS5" s="72">
        <f>SUM(AI5+AR5)</f>
        <v>0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</row>
    <row r="6" spans="1:56" x14ac:dyDescent="0.25">
      <c r="A6" s="27" t="s">
        <v>138</v>
      </c>
      <c r="B6" s="274" t="s">
        <v>586</v>
      </c>
      <c r="C6" s="275" t="s">
        <v>483</v>
      </c>
      <c r="D6" s="151"/>
      <c r="E6" s="151">
        <v>-2</v>
      </c>
      <c r="F6" s="115"/>
      <c r="G6" s="51"/>
      <c r="H6" s="115"/>
      <c r="I6" s="151"/>
      <c r="J6" s="115"/>
      <c r="K6" s="117"/>
      <c r="L6" s="72">
        <v>2</v>
      </c>
      <c r="M6" s="127">
        <v>0</v>
      </c>
      <c r="N6" s="101">
        <v>2</v>
      </c>
      <c r="O6" s="127">
        <v>9</v>
      </c>
      <c r="P6" s="101">
        <v>1</v>
      </c>
      <c r="Q6" s="196">
        <v>0</v>
      </c>
      <c r="R6" s="198">
        <v>0</v>
      </c>
      <c r="S6" s="198">
        <v>0</v>
      </c>
      <c r="T6" s="198">
        <v>0</v>
      </c>
      <c r="U6" s="198">
        <v>0</v>
      </c>
      <c r="V6" s="198">
        <v>0</v>
      </c>
      <c r="W6" s="198">
        <v>0</v>
      </c>
      <c r="X6" s="147" t="s">
        <v>34</v>
      </c>
      <c r="Y6" s="151" t="s">
        <v>34</v>
      </c>
      <c r="Z6" s="198">
        <v>0</v>
      </c>
      <c r="AA6" s="151" t="s">
        <v>34</v>
      </c>
      <c r="AB6" s="151" t="s">
        <v>34</v>
      </c>
      <c r="AC6" s="147" t="s">
        <v>34</v>
      </c>
      <c r="AD6" s="51" t="s">
        <v>34</v>
      </c>
      <c r="AE6" s="280" t="s">
        <v>34</v>
      </c>
      <c r="AF6" s="147" t="s">
        <v>34</v>
      </c>
      <c r="AG6" s="151" t="s">
        <v>34</v>
      </c>
      <c r="AH6" s="288">
        <v>0</v>
      </c>
      <c r="AI6" s="117">
        <f t="shared" si="0"/>
        <v>0</v>
      </c>
      <c r="AJ6" s="51" t="s">
        <v>34</v>
      </c>
      <c r="AK6" s="147" t="s">
        <v>34</v>
      </c>
      <c r="AL6" s="147" t="s">
        <v>34</v>
      </c>
      <c r="AM6" s="147" t="s">
        <v>34</v>
      </c>
      <c r="AN6" s="198">
        <v>0</v>
      </c>
      <c r="AO6" s="147" t="s">
        <v>34</v>
      </c>
      <c r="AP6" s="51">
        <v>90</v>
      </c>
      <c r="AQ6" s="280">
        <v>90</v>
      </c>
      <c r="AR6" s="72">
        <f>SUM(AJ6:AQ6)</f>
        <v>180</v>
      </c>
      <c r="AS6" s="72">
        <f t="shared" ref="AS6:AS34" si="1">SUM(AI6+AR6)</f>
        <v>180</v>
      </c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</row>
    <row r="7" spans="1:56" x14ac:dyDescent="0.25">
      <c r="A7" s="27" t="s">
        <v>138</v>
      </c>
      <c r="B7" s="274" t="s">
        <v>603</v>
      </c>
      <c r="C7" s="275" t="s">
        <v>511</v>
      </c>
      <c r="D7" s="151">
        <v>-5</v>
      </c>
      <c r="E7" s="151">
        <v>-7</v>
      </c>
      <c r="F7" s="115"/>
      <c r="G7" s="51"/>
      <c r="H7" s="115"/>
      <c r="I7" s="151">
        <v>1</v>
      </c>
      <c r="J7" s="115"/>
      <c r="K7" s="117"/>
      <c r="L7" s="72">
        <v>12</v>
      </c>
      <c r="M7" s="127">
        <v>6</v>
      </c>
      <c r="N7" s="101">
        <v>6</v>
      </c>
      <c r="O7" s="127">
        <v>4</v>
      </c>
      <c r="P7" s="101">
        <v>0</v>
      </c>
      <c r="Q7" s="51" t="s">
        <v>34</v>
      </c>
      <c r="R7" s="147" t="s">
        <v>34</v>
      </c>
      <c r="S7" s="147" t="s">
        <v>34</v>
      </c>
      <c r="T7" s="147" t="s">
        <v>34</v>
      </c>
      <c r="U7" s="51" t="s">
        <v>34</v>
      </c>
      <c r="V7" s="147" t="s">
        <v>34</v>
      </c>
      <c r="W7" s="51" t="s">
        <v>34</v>
      </c>
      <c r="X7" s="198">
        <v>0</v>
      </c>
      <c r="Y7" s="198">
        <v>0</v>
      </c>
      <c r="Z7" s="147" t="s">
        <v>34</v>
      </c>
      <c r="AA7" s="198">
        <v>0</v>
      </c>
      <c r="AB7" s="198">
        <v>0</v>
      </c>
      <c r="AC7" s="147">
        <v>90</v>
      </c>
      <c r="AD7" s="51">
        <v>90</v>
      </c>
      <c r="AE7" s="280">
        <v>90</v>
      </c>
      <c r="AF7" s="147">
        <v>90</v>
      </c>
      <c r="AG7" s="151">
        <v>90</v>
      </c>
      <c r="AH7" s="117">
        <v>90</v>
      </c>
      <c r="AI7" s="117">
        <f t="shared" si="0"/>
        <v>540</v>
      </c>
      <c r="AJ7" s="51">
        <v>90</v>
      </c>
      <c r="AK7" s="147">
        <v>90</v>
      </c>
      <c r="AL7" s="147">
        <v>90</v>
      </c>
      <c r="AM7" s="147">
        <v>90</v>
      </c>
      <c r="AN7" s="51">
        <v>90</v>
      </c>
      <c r="AO7" s="147">
        <v>89</v>
      </c>
      <c r="AP7" s="51" t="s">
        <v>34</v>
      </c>
      <c r="AQ7" s="280" t="s">
        <v>34</v>
      </c>
      <c r="AR7" s="72">
        <f t="shared" ref="AR7:AR34" si="2">SUM(AJ7:AQ7)</f>
        <v>539</v>
      </c>
      <c r="AS7" s="72">
        <f t="shared" si="1"/>
        <v>1079</v>
      </c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</row>
    <row r="8" spans="1:56" x14ac:dyDescent="0.25">
      <c r="A8" s="28" t="s">
        <v>141</v>
      </c>
      <c r="B8" s="274" t="s">
        <v>579</v>
      </c>
      <c r="C8" s="275" t="s">
        <v>580</v>
      </c>
      <c r="D8" s="151"/>
      <c r="E8" s="151"/>
      <c r="F8" s="115"/>
      <c r="G8" s="51"/>
      <c r="H8" s="115">
        <v>1</v>
      </c>
      <c r="I8" s="151">
        <v>2</v>
      </c>
      <c r="J8" s="115"/>
      <c r="K8" s="117">
        <v>1</v>
      </c>
      <c r="L8" s="72">
        <v>4</v>
      </c>
      <c r="M8" s="127">
        <v>1</v>
      </c>
      <c r="N8" s="101">
        <v>2</v>
      </c>
      <c r="O8" s="127">
        <v>6</v>
      </c>
      <c r="P8" s="101">
        <v>1</v>
      </c>
      <c r="Q8" s="196">
        <v>0</v>
      </c>
      <c r="R8" s="147" t="s">
        <v>34</v>
      </c>
      <c r="S8" s="198">
        <v>0</v>
      </c>
      <c r="T8" s="198">
        <v>0</v>
      </c>
      <c r="U8" s="51">
        <v>45</v>
      </c>
      <c r="V8" s="147" t="s">
        <v>34</v>
      </c>
      <c r="W8" s="147" t="s">
        <v>34</v>
      </c>
      <c r="X8" s="147" t="s">
        <v>34</v>
      </c>
      <c r="Y8" s="151" t="s">
        <v>34</v>
      </c>
      <c r="Z8" s="147" t="s">
        <v>34</v>
      </c>
      <c r="AA8" s="147" t="s">
        <v>34</v>
      </c>
      <c r="AB8" s="147" t="s">
        <v>34</v>
      </c>
      <c r="AC8" s="147" t="s">
        <v>34</v>
      </c>
      <c r="AD8" s="198">
        <v>0</v>
      </c>
      <c r="AE8" s="198">
        <v>3</v>
      </c>
      <c r="AF8" s="147" t="s">
        <v>34</v>
      </c>
      <c r="AG8" s="198">
        <v>0</v>
      </c>
      <c r="AH8" s="117" t="s">
        <v>34</v>
      </c>
      <c r="AI8" s="117">
        <f t="shared" si="0"/>
        <v>48</v>
      </c>
      <c r="AJ8" s="51" t="s">
        <v>34</v>
      </c>
      <c r="AK8" s="147" t="s">
        <v>34</v>
      </c>
      <c r="AL8" s="147">
        <v>90</v>
      </c>
      <c r="AM8" s="147">
        <v>47</v>
      </c>
      <c r="AN8" s="51" t="s">
        <v>34</v>
      </c>
      <c r="AO8" s="147" t="s">
        <v>34</v>
      </c>
      <c r="AP8" s="198">
        <v>0</v>
      </c>
      <c r="AQ8" s="280" t="s">
        <v>34</v>
      </c>
      <c r="AR8" s="72">
        <f t="shared" si="2"/>
        <v>137</v>
      </c>
      <c r="AS8" s="72">
        <f t="shared" si="1"/>
        <v>185</v>
      </c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</row>
    <row r="9" spans="1:56" x14ac:dyDescent="0.25">
      <c r="A9" s="28" t="s">
        <v>141</v>
      </c>
      <c r="B9" s="274" t="s">
        <v>661</v>
      </c>
      <c r="C9" s="275" t="s">
        <v>662</v>
      </c>
      <c r="D9" s="151"/>
      <c r="E9" s="151"/>
      <c r="F9" s="115"/>
      <c r="G9" s="51"/>
      <c r="H9" s="115"/>
      <c r="I9" s="151">
        <v>1</v>
      </c>
      <c r="J9" s="115"/>
      <c r="K9" s="117"/>
      <c r="L9" s="72">
        <v>6</v>
      </c>
      <c r="M9" s="127">
        <v>1</v>
      </c>
      <c r="N9" s="101">
        <v>4</v>
      </c>
      <c r="O9" s="127">
        <v>3</v>
      </c>
      <c r="P9" s="101">
        <v>0</v>
      </c>
      <c r="Q9" s="51" t="s">
        <v>34</v>
      </c>
      <c r="R9" s="147" t="s">
        <v>34</v>
      </c>
      <c r="S9" s="147" t="s">
        <v>34</v>
      </c>
      <c r="T9" s="147" t="s">
        <v>34</v>
      </c>
      <c r="U9" s="51" t="s">
        <v>34</v>
      </c>
      <c r="V9" s="147" t="s">
        <v>34</v>
      </c>
      <c r="W9" s="51" t="s">
        <v>34</v>
      </c>
      <c r="X9" s="147" t="s">
        <v>34</v>
      </c>
      <c r="Y9" s="151" t="s">
        <v>34</v>
      </c>
      <c r="Z9" s="151" t="s">
        <v>34</v>
      </c>
      <c r="AA9" s="147" t="s">
        <v>34</v>
      </c>
      <c r="AB9" s="151" t="s">
        <v>34</v>
      </c>
      <c r="AC9" s="147" t="s">
        <v>34</v>
      </c>
      <c r="AD9" s="198">
        <v>3</v>
      </c>
      <c r="AE9" s="280">
        <v>90</v>
      </c>
      <c r="AF9" s="198">
        <v>0</v>
      </c>
      <c r="AG9" s="198">
        <v>0</v>
      </c>
      <c r="AH9" s="117" t="s">
        <v>34</v>
      </c>
      <c r="AI9" s="117">
        <f t="shared" si="0"/>
        <v>93</v>
      </c>
      <c r="AJ9" s="51">
        <v>90</v>
      </c>
      <c r="AK9" s="147" t="s">
        <v>34</v>
      </c>
      <c r="AL9" s="147">
        <v>90</v>
      </c>
      <c r="AM9" s="147" t="s">
        <v>34</v>
      </c>
      <c r="AN9" s="51">
        <v>90</v>
      </c>
      <c r="AO9" s="147" t="s">
        <v>34</v>
      </c>
      <c r="AP9" s="51">
        <v>90</v>
      </c>
      <c r="AQ9" s="280" t="s">
        <v>34</v>
      </c>
      <c r="AR9" s="72">
        <f t="shared" si="2"/>
        <v>360</v>
      </c>
      <c r="AS9" s="72">
        <f t="shared" si="1"/>
        <v>453</v>
      </c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</row>
    <row r="10" spans="1:56" x14ac:dyDescent="0.25">
      <c r="A10" s="28" t="s">
        <v>141</v>
      </c>
      <c r="B10" s="274" t="s">
        <v>747</v>
      </c>
      <c r="C10" s="275" t="s">
        <v>504</v>
      </c>
      <c r="D10" s="151"/>
      <c r="E10" s="151">
        <v>1</v>
      </c>
      <c r="F10" s="115"/>
      <c r="G10" s="51"/>
      <c r="H10" s="115">
        <v>4</v>
      </c>
      <c r="I10" s="151">
        <v>1</v>
      </c>
      <c r="J10" s="115">
        <v>1</v>
      </c>
      <c r="K10" s="117"/>
      <c r="L10" s="72">
        <v>23</v>
      </c>
      <c r="M10" s="127">
        <v>17</v>
      </c>
      <c r="N10" s="101">
        <v>6</v>
      </c>
      <c r="O10" s="127">
        <v>0</v>
      </c>
      <c r="P10" s="101">
        <v>0</v>
      </c>
      <c r="Q10" s="51">
        <v>90</v>
      </c>
      <c r="R10" s="147">
        <v>90</v>
      </c>
      <c r="S10" s="147">
        <v>90</v>
      </c>
      <c r="T10" s="147">
        <v>90</v>
      </c>
      <c r="U10" s="51">
        <v>90</v>
      </c>
      <c r="V10" s="147">
        <v>90</v>
      </c>
      <c r="W10" s="51">
        <v>90</v>
      </c>
      <c r="X10" s="147">
        <v>90</v>
      </c>
      <c r="Y10" s="151" t="s">
        <v>34</v>
      </c>
      <c r="Z10" s="147">
        <v>90</v>
      </c>
      <c r="AA10" s="147">
        <v>90</v>
      </c>
      <c r="AB10" s="147">
        <v>90</v>
      </c>
      <c r="AC10" s="147">
        <v>90</v>
      </c>
      <c r="AD10" s="51">
        <v>90</v>
      </c>
      <c r="AE10" s="280">
        <v>90</v>
      </c>
      <c r="AF10" s="147">
        <v>90</v>
      </c>
      <c r="AG10" s="151">
        <v>90</v>
      </c>
      <c r="AH10" s="117">
        <v>90</v>
      </c>
      <c r="AI10" s="117">
        <f t="shared" si="0"/>
        <v>1530</v>
      </c>
      <c r="AJ10" s="51">
        <v>90</v>
      </c>
      <c r="AK10" s="147">
        <v>90</v>
      </c>
      <c r="AL10" s="147">
        <v>90</v>
      </c>
      <c r="AM10" s="147" t="s">
        <v>34</v>
      </c>
      <c r="AN10" s="51">
        <v>90</v>
      </c>
      <c r="AO10" s="147">
        <v>90</v>
      </c>
      <c r="AP10" s="51" t="s">
        <v>34</v>
      </c>
      <c r="AQ10" s="280">
        <v>90</v>
      </c>
      <c r="AR10" s="72">
        <f t="shared" si="2"/>
        <v>540</v>
      </c>
      <c r="AS10" s="72">
        <f t="shared" si="1"/>
        <v>2070</v>
      </c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</row>
    <row r="11" spans="1:56" x14ac:dyDescent="0.25">
      <c r="A11" s="28" t="s">
        <v>141</v>
      </c>
      <c r="B11" s="274" t="s">
        <v>665</v>
      </c>
      <c r="C11" s="275" t="s">
        <v>666</v>
      </c>
      <c r="D11" s="151"/>
      <c r="E11" s="151"/>
      <c r="F11" s="115"/>
      <c r="G11" s="51"/>
      <c r="H11" s="115"/>
      <c r="I11" s="151"/>
      <c r="J11" s="115"/>
      <c r="K11" s="117"/>
      <c r="L11" s="72">
        <v>2</v>
      </c>
      <c r="M11" s="127">
        <v>0</v>
      </c>
      <c r="N11" s="101">
        <v>1</v>
      </c>
      <c r="O11" s="127">
        <v>7</v>
      </c>
      <c r="P11" s="101">
        <v>2</v>
      </c>
      <c r="Q11" s="51" t="s">
        <v>34</v>
      </c>
      <c r="R11" s="147" t="s">
        <v>34</v>
      </c>
      <c r="S11" s="198">
        <v>0</v>
      </c>
      <c r="T11" s="147" t="s">
        <v>34</v>
      </c>
      <c r="U11" s="198">
        <v>0</v>
      </c>
      <c r="V11" s="147" t="s">
        <v>34</v>
      </c>
      <c r="W11" s="51" t="s">
        <v>34</v>
      </c>
      <c r="X11" s="198">
        <v>0</v>
      </c>
      <c r="Y11" s="151" t="s">
        <v>34</v>
      </c>
      <c r="Z11" s="198">
        <v>0</v>
      </c>
      <c r="AA11" s="147" t="s">
        <v>34</v>
      </c>
      <c r="AB11" s="198">
        <v>0</v>
      </c>
      <c r="AC11" s="147" t="s">
        <v>34</v>
      </c>
      <c r="AD11" s="51" t="s">
        <v>34</v>
      </c>
      <c r="AE11" s="280" t="s">
        <v>34</v>
      </c>
      <c r="AF11" s="198">
        <v>1</v>
      </c>
      <c r="AG11" s="151" t="s">
        <v>34</v>
      </c>
      <c r="AH11" s="288">
        <v>0</v>
      </c>
      <c r="AI11" s="117">
        <f t="shared" si="0"/>
        <v>1</v>
      </c>
      <c r="AJ11" s="195">
        <v>0</v>
      </c>
      <c r="AK11" s="147" t="s">
        <v>34</v>
      </c>
      <c r="AL11" s="147" t="s">
        <v>34</v>
      </c>
      <c r="AM11" s="147" t="s">
        <v>34</v>
      </c>
      <c r="AN11" s="198">
        <v>0</v>
      </c>
      <c r="AO11" s="147" t="s">
        <v>34</v>
      </c>
      <c r="AP11" s="51">
        <v>90</v>
      </c>
      <c r="AQ11" s="280" t="s">
        <v>34</v>
      </c>
      <c r="AR11" s="72">
        <f t="shared" si="2"/>
        <v>90</v>
      </c>
      <c r="AS11" s="72">
        <f t="shared" si="1"/>
        <v>91</v>
      </c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</row>
    <row r="12" spans="1:56" x14ac:dyDescent="0.25">
      <c r="A12" s="28" t="s">
        <v>141</v>
      </c>
      <c r="B12" s="274" t="s">
        <v>663</v>
      </c>
      <c r="C12" s="275" t="s">
        <v>588</v>
      </c>
      <c r="D12" s="151"/>
      <c r="E12" s="151"/>
      <c r="F12" s="115"/>
      <c r="G12" s="51"/>
      <c r="H12" s="115">
        <v>4</v>
      </c>
      <c r="I12" s="151">
        <v>2</v>
      </c>
      <c r="J12" s="115">
        <v>1</v>
      </c>
      <c r="K12" s="117"/>
      <c r="L12" s="72">
        <v>23</v>
      </c>
      <c r="M12" s="127">
        <v>16</v>
      </c>
      <c r="N12" s="101">
        <v>7</v>
      </c>
      <c r="O12" s="127">
        <v>0</v>
      </c>
      <c r="P12" s="101">
        <v>1</v>
      </c>
      <c r="Q12" s="51">
        <v>90</v>
      </c>
      <c r="R12" s="147">
        <v>90</v>
      </c>
      <c r="S12" s="147">
        <v>90</v>
      </c>
      <c r="T12" s="147">
        <v>90</v>
      </c>
      <c r="U12" s="51" t="s">
        <v>34</v>
      </c>
      <c r="V12" s="147">
        <v>90</v>
      </c>
      <c r="W12" s="51">
        <v>90</v>
      </c>
      <c r="X12" s="147">
        <v>90</v>
      </c>
      <c r="Y12" s="151">
        <v>90</v>
      </c>
      <c r="Z12" s="147">
        <v>90</v>
      </c>
      <c r="AA12" s="147">
        <v>90</v>
      </c>
      <c r="AB12" s="147">
        <v>90</v>
      </c>
      <c r="AC12" s="147">
        <v>90</v>
      </c>
      <c r="AD12" s="51">
        <v>90</v>
      </c>
      <c r="AE12" s="280">
        <v>90</v>
      </c>
      <c r="AF12" s="147">
        <v>90</v>
      </c>
      <c r="AG12" s="151" t="s">
        <v>34</v>
      </c>
      <c r="AH12" s="117">
        <v>90</v>
      </c>
      <c r="AI12" s="117">
        <f t="shared" si="0"/>
        <v>1440</v>
      </c>
      <c r="AJ12" s="51">
        <v>79</v>
      </c>
      <c r="AK12" s="147">
        <v>90</v>
      </c>
      <c r="AL12" s="198">
        <v>0</v>
      </c>
      <c r="AM12" s="147">
        <v>90</v>
      </c>
      <c r="AN12" s="51">
        <v>90</v>
      </c>
      <c r="AO12" s="147">
        <v>90</v>
      </c>
      <c r="AP12" s="51">
        <v>90</v>
      </c>
      <c r="AQ12" s="280">
        <v>90</v>
      </c>
      <c r="AR12" s="72">
        <f t="shared" si="2"/>
        <v>619</v>
      </c>
      <c r="AS12" s="72">
        <f t="shared" si="1"/>
        <v>2059</v>
      </c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</row>
    <row r="13" spans="1:56" x14ac:dyDescent="0.25">
      <c r="A13" s="28" t="s">
        <v>141</v>
      </c>
      <c r="B13" s="274" t="s">
        <v>806</v>
      </c>
      <c r="C13" s="275" t="s">
        <v>807</v>
      </c>
      <c r="D13" s="151"/>
      <c r="E13" s="151"/>
      <c r="F13" s="115"/>
      <c r="G13" s="51"/>
      <c r="H13" s="115"/>
      <c r="I13" s="151"/>
      <c r="J13" s="115"/>
      <c r="K13" s="117"/>
      <c r="L13" s="72">
        <v>0</v>
      </c>
      <c r="M13" s="127">
        <v>0</v>
      </c>
      <c r="N13" s="101">
        <v>0</v>
      </c>
      <c r="O13" s="127">
        <v>1</v>
      </c>
      <c r="P13" s="101">
        <v>0</v>
      </c>
      <c r="Q13" s="51" t="s">
        <v>34</v>
      </c>
      <c r="R13" s="147" t="s">
        <v>34</v>
      </c>
      <c r="S13" s="147" t="s">
        <v>34</v>
      </c>
      <c r="T13" s="147" t="s">
        <v>34</v>
      </c>
      <c r="U13" s="51" t="s">
        <v>34</v>
      </c>
      <c r="V13" s="147" t="s">
        <v>34</v>
      </c>
      <c r="W13" s="51" t="s">
        <v>34</v>
      </c>
      <c r="X13" s="147" t="s">
        <v>34</v>
      </c>
      <c r="Y13" s="151" t="s">
        <v>34</v>
      </c>
      <c r="Z13" s="147" t="s">
        <v>34</v>
      </c>
      <c r="AA13" s="147" t="s">
        <v>34</v>
      </c>
      <c r="AB13" s="147" t="s">
        <v>34</v>
      </c>
      <c r="AC13" s="147" t="s">
        <v>34</v>
      </c>
      <c r="AD13" s="51" t="s">
        <v>34</v>
      </c>
      <c r="AE13" s="280" t="s">
        <v>34</v>
      </c>
      <c r="AF13" s="147" t="s">
        <v>34</v>
      </c>
      <c r="AG13" s="151" t="s">
        <v>34</v>
      </c>
      <c r="AH13" s="288">
        <v>0</v>
      </c>
      <c r="AI13" s="117">
        <f t="shared" si="0"/>
        <v>0</v>
      </c>
      <c r="AJ13" s="51" t="s">
        <v>34</v>
      </c>
      <c r="AK13" s="147" t="s">
        <v>34</v>
      </c>
      <c r="AL13" s="147" t="s">
        <v>34</v>
      </c>
      <c r="AM13" s="147" t="s">
        <v>34</v>
      </c>
      <c r="AN13" s="51" t="s">
        <v>34</v>
      </c>
      <c r="AO13" s="147" t="s">
        <v>34</v>
      </c>
      <c r="AP13" s="51" t="s">
        <v>34</v>
      </c>
      <c r="AQ13" s="280" t="s">
        <v>34</v>
      </c>
      <c r="AR13" s="72">
        <f t="shared" si="2"/>
        <v>0</v>
      </c>
      <c r="AS13" s="72">
        <f t="shared" si="1"/>
        <v>0</v>
      </c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</row>
    <row r="14" spans="1:56" x14ac:dyDescent="0.25">
      <c r="A14" s="28" t="s">
        <v>141</v>
      </c>
      <c r="B14" s="274" t="s">
        <v>803</v>
      </c>
      <c r="C14" s="275" t="s">
        <v>919</v>
      </c>
      <c r="D14" s="151"/>
      <c r="E14" s="151"/>
      <c r="F14" s="115"/>
      <c r="G14" s="51"/>
      <c r="H14" s="115"/>
      <c r="I14" s="151"/>
      <c r="J14" s="115"/>
      <c r="K14" s="117"/>
      <c r="L14" s="72">
        <v>3</v>
      </c>
      <c r="M14" s="127">
        <v>2</v>
      </c>
      <c r="N14" s="101">
        <v>0</v>
      </c>
      <c r="O14" s="127">
        <v>4</v>
      </c>
      <c r="P14" s="101">
        <v>0</v>
      </c>
      <c r="Q14" s="51">
        <v>90</v>
      </c>
      <c r="R14" s="147">
        <v>70</v>
      </c>
      <c r="S14" s="147" t="s">
        <v>34</v>
      </c>
      <c r="T14" s="198">
        <v>45</v>
      </c>
      <c r="U14" s="198">
        <v>0</v>
      </c>
      <c r="V14" s="147" t="s">
        <v>34</v>
      </c>
      <c r="W14" s="51" t="s">
        <v>34</v>
      </c>
      <c r="X14" s="198">
        <v>0</v>
      </c>
      <c r="Y14" s="151" t="s">
        <v>34</v>
      </c>
      <c r="Z14" s="147" t="s">
        <v>34</v>
      </c>
      <c r="AA14" s="147" t="s">
        <v>34</v>
      </c>
      <c r="AB14" s="147" t="s">
        <v>34</v>
      </c>
      <c r="AC14" s="147" t="s">
        <v>34</v>
      </c>
      <c r="AD14" s="51" t="s">
        <v>34</v>
      </c>
      <c r="AE14" s="198">
        <v>0</v>
      </c>
      <c r="AF14" s="147" t="s">
        <v>34</v>
      </c>
      <c r="AG14" s="151" t="s">
        <v>34</v>
      </c>
      <c r="AH14" s="117" t="s">
        <v>34</v>
      </c>
      <c r="AI14" s="117">
        <f t="shared" si="0"/>
        <v>205</v>
      </c>
      <c r="AJ14" s="51" t="s">
        <v>34</v>
      </c>
      <c r="AK14" s="147" t="s">
        <v>34</v>
      </c>
      <c r="AL14" s="147" t="s">
        <v>34</v>
      </c>
      <c r="AM14" s="147" t="s">
        <v>34</v>
      </c>
      <c r="AN14" s="51" t="s">
        <v>34</v>
      </c>
      <c r="AO14" s="147" t="s">
        <v>34</v>
      </c>
      <c r="AP14" s="51" t="s">
        <v>34</v>
      </c>
      <c r="AQ14" s="280" t="s">
        <v>34</v>
      </c>
      <c r="AR14" s="72">
        <f t="shared" si="2"/>
        <v>0</v>
      </c>
      <c r="AS14" s="72">
        <f t="shared" si="1"/>
        <v>205</v>
      </c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</row>
    <row r="15" spans="1:56" x14ac:dyDescent="0.25">
      <c r="A15" s="28" t="s">
        <v>141</v>
      </c>
      <c r="B15" s="274" t="s">
        <v>735</v>
      </c>
      <c r="C15" s="275" t="s">
        <v>736</v>
      </c>
      <c r="D15" s="151"/>
      <c r="E15" s="151"/>
      <c r="F15" s="115"/>
      <c r="G15" s="51"/>
      <c r="H15" s="115"/>
      <c r="I15" s="151"/>
      <c r="J15" s="115"/>
      <c r="K15" s="117"/>
      <c r="L15" s="72">
        <v>4</v>
      </c>
      <c r="M15" s="127">
        <v>1</v>
      </c>
      <c r="N15" s="101">
        <v>0</v>
      </c>
      <c r="O15" s="127">
        <v>3</v>
      </c>
      <c r="P15" s="101">
        <v>4</v>
      </c>
      <c r="Q15" s="51" t="s">
        <v>34</v>
      </c>
      <c r="R15" s="147" t="s">
        <v>34</v>
      </c>
      <c r="S15" s="147" t="s">
        <v>34</v>
      </c>
      <c r="T15" s="147" t="s">
        <v>34</v>
      </c>
      <c r="U15" s="51" t="s">
        <v>34</v>
      </c>
      <c r="V15" s="147" t="s">
        <v>34</v>
      </c>
      <c r="W15" s="51" t="s">
        <v>34</v>
      </c>
      <c r="X15" s="147" t="s">
        <v>34</v>
      </c>
      <c r="Y15" s="198">
        <v>0</v>
      </c>
      <c r="Z15" s="147" t="s">
        <v>34</v>
      </c>
      <c r="AA15" s="198">
        <v>0</v>
      </c>
      <c r="AB15" s="147" t="s">
        <v>34</v>
      </c>
      <c r="AC15" s="198">
        <v>3</v>
      </c>
      <c r="AD15" s="51" t="s">
        <v>34</v>
      </c>
      <c r="AE15" s="280" t="s">
        <v>34</v>
      </c>
      <c r="AF15" s="147" t="s">
        <v>34</v>
      </c>
      <c r="AG15" s="151">
        <v>90</v>
      </c>
      <c r="AH15" s="117" t="s">
        <v>34</v>
      </c>
      <c r="AI15" s="117">
        <f t="shared" si="0"/>
        <v>93</v>
      </c>
      <c r="AJ15" s="51" t="s">
        <v>34</v>
      </c>
      <c r="AK15" s="198">
        <v>2</v>
      </c>
      <c r="AL15" s="147" t="s">
        <v>34</v>
      </c>
      <c r="AM15" s="198">
        <v>5</v>
      </c>
      <c r="AN15" s="51" t="s">
        <v>34</v>
      </c>
      <c r="AO15" s="198">
        <v>0</v>
      </c>
      <c r="AP15" s="51" t="s">
        <v>34</v>
      </c>
      <c r="AQ15" s="154">
        <v>0</v>
      </c>
      <c r="AR15" s="72">
        <f t="shared" si="2"/>
        <v>7</v>
      </c>
      <c r="AS15" s="72">
        <f t="shared" si="1"/>
        <v>100</v>
      </c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</row>
    <row r="16" spans="1:56" x14ac:dyDescent="0.25">
      <c r="A16" s="28" t="s">
        <v>141</v>
      </c>
      <c r="B16" s="274" t="s">
        <v>664</v>
      </c>
      <c r="C16" s="275" t="s">
        <v>12</v>
      </c>
      <c r="D16" s="151"/>
      <c r="E16" s="151">
        <v>1</v>
      </c>
      <c r="F16" s="115"/>
      <c r="G16" s="51"/>
      <c r="H16" s="115">
        <v>2</v>
      </c>
      <c r="I16" s="151"/>
      <c r="J16" s="115"/>
      <c r="K16" s="117"/>
      <c r="L16" s="72">
        <v>18</v>
      </c>
      <c r="M16" s="127">
        <v>9</v>
      </c>
      <c r="N16" s="101">
        <v>8</v>
      </c>
      <c r="O16" s="127">
        <v>5</v>
      </c>
      <c r="P16" s="101">
        <v>0</v>
      </c>
      <c r="Q16" s="196">
        <v>0</v>
      </c>
      <c r="R16" s="198">
        <v>0</v>
      </c>
      <c r="S16" s="147" t="s">
        <v>34</v>
      </c>
      <c r="T16" s="147" t="s">
        <v>34</v>
      </c>
      <c r="U16" s="51" t="s">
        <v>34</v>
      </c>
      <c r="V16" s="198">
        <v>0</v>
      </c>
      <c r="W16" s="198">
        <v>23</v>
      </c>
      <c r="X16" s="198">
        <v>0</v>
      </c>
      <c r="Y16" s="151">
        <v>90</v>
      </c>
      <c r="Z16" s="147">
        <v>90</v>
      </c>
      <c r="AA16" s="147">
        <v>90</v>
      </c>
      <c r="AB16" s="147">
        <v>90</v>
      </c>
      <c r="AC16" s="147">
        <v>90</v>
      </c>
      <c r="AD16" s="51">
        <v>90</v>
      </c>
      <c r="AE16" s="280">
        <v>90</v>
      </c>
      <c r="AF16" s="147">
        <v>90</v>
      </c>
      <c r="AG16" s="151" t="s">
        <v>34</v>
      </c>
      <c r="AH16" s="117">
        <v>90</v>
      </c>
      <c r="AI16" s="117">
        <f t="shared" si="0"/>
        <v>833</v>
      </c>
      <c r="AJ16" s="51">
        <v>90</v>
      </c>
      <c r="AK16" s="147">
        <v>90</v>
      </c>
      <c r="AL16" s="147">
        <v>90</v>
      </c>
      <c r="AM16" s="147">
        <v>90</v>
      </c>
      <c r="AN16" s="51">
        <v>90</v>
      </c>
      <c r="AO16" s="147">
        <v>90</v>
      </c>
      <c r="AP16" s="51">
        <v>85</v>
      </c>
      <c r="AQ16" s="280">
        <v>90</v>
      </c>
      <c r="AR16" s="72">
        <f t="shared" si="2"/>
        <v>715</v>
      </c>
      <c r="AS16" s="72">
        <f t="shared" si="1"/>
        <v>1548</v>
      </c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</row>
    <row r="17" spans="1:56" x14ac:dyDescent="0.25">
      <c r="A17" s="29" t="s">
        <v>139</v>
      </c>
      <c r="B17" s="274" t="s">
        <v>805</v>
      </c>
      <c r="C17" s="275" t="s">
        <v>518</v>
      </c>
      <c r="D17" s="151"/>
      <c r="E17" s="151"/>
      <c r="F17" s="115"/>
      <c r="G17" s="51"/>
      <c r="H17" s="115"/>
      <c r="I17" s="151"/>
      <c r="J17" s="115"/>
      <c r="K17" s="117"/>
      <c r="L17" s="72">
        <v>2</v>
      </c>
      <c r="M17" s="127">
        <v>0</v>
      </c>
      <c r="N17" s="101">
        <v>0</v>
      </c>
      <c r="O17" s="127">
        <v>6</v>
      </c>
      <c r="P17" s="101">
        <v>0</v>
      </c>
      <c r="Q17" s="51" t="s">
        <v>34</v>
      </c>
      <c r="R17" s="147" t="s">
        <v>34</v>
      </c>
      <c r="S17" s="198">
        <v>0</v>
      </c>
      <c r="T17" s="147" t="s">
        <v>34</v>
      </c>
      <c r="U17" s="51" t="s">
        <v>34</v>
      </c>
      <c r="V17" s="198">
        <v>28</v>
      </c>
      <c r="W17" s="198">
        <v>0</v>
      </c>
      <c r="X17" s="198">
        <v>23</v>
      </c>
      <c r="Y17" s="151" t="s">
        <v>34</v>
      </c>
      <c r="Z17" s="147" t="s">
        <v>34</v>
      </c>
      <c r="AA17" s="147" t="s">
        <v>34</v>
      </c>
      <c r="AB17" s="147" t="s">
        <v>34</v>
      </c>
      <c r="AC17" s="147" t="s">
        <v>34</v>
      </c>
      <c r="AD17" s="198">
        <v>0</v>
      </c>
      <c r="AE17" s="198">
        <v>0</v>
      </c>
      <c r="AF17" s="147" t="s">
        <v>34</v>
      </c>
      <c r="AG17" s="151" t="s">
        <v>34</v>
      </c>
      <c r="AH17" s="117" t="s">
        <v>34</v>
      </c>
      <c r="AI17" s="117">
        <f t="shared" si="0"/>
        <v>51</v>
      </c>
      <c r="AJ17" s="51" t="s">
        <v>34</v>
      </c>
      <c r="AK17" s="147" t="s">
        <v>34</v>
      </c>
      <c r="AL17" s="147" t="s">
        <v>34</v>
      </c>
      <c r="AM17" s="147" t="s">
        <v>34</v>
      </c>
      <c r="AN17" s="51" t="s">
        <v>34</v>
      </c>
      <c r="AO17" s="147" t="s">
        <v>34</v>
      </c>
      <c r="AP17" s="51" t="s">
        <v>34</v>
      </c>
      <c r="AQ17" s="280" t="s">
        <v>34</v>
      </c>
      <c r="AR17" s="72">
        <f t="shared" si="2"/>
        <v>0</v>
      </c>
      <c r="AS17" s="72">
        <f t="shared" si="1"/>
        <v>51</v>
      </c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</row>
    <row r="18" spans="1:56" x14ac:dyDescent="0.25">
      <c r="A18" s="29" t="s">
        <v>139</v>
      </c>
      <c r="B18" s="274" t="s">
        <v>960</v>
      </c>
      <c r="C18" s="275" t="s">
        <v>483</v>
      </c>
      <c r="D18" s="151">
        <v>1</v>
      </c>
      <c r="E18" s="151">
        <v>1</v>
      </c>
      <c r="F18" s="115"/>
      <c r="G18" s="51"/>
      <c r="H18" s="115">
        <v>8</v>
      </c>
      <c r="I18" s="151">
        <v>2</v>
      </c>
      <c r="J18" s="115">
        <v>1</v>
      </c>
      <c r="K18" s="117"/>
      <c r="L18" s="72">
        <v>21</v>
      </c>
      <c r="M18" s="127">
        <v>15</v>
      </c>
      <c r="N18" s="101">
        <v>4</v>
      </c>
      <c r="O18" s="127">
        <v>0</v>
      </c>
      <c r="P18" s="101">
        <v>2</v>
      </c>
      <c r="Q18" s="51">
        <v>84</v>
      </c>
      <c r="R18" s="147">
        <v>90</v>
      </c>
      <c r="S18" s="147">
        <v>90</v>
      </c>
      <c r="T18" s="147">
        <v>90</v>
      </c>
      <c r="U18" s="51">
        <v>90</v>
      </c>
      <c r="V18" s="147">
        <v>90</v>
      </c>
      <c r="W18" s="51">
        <v>90</v>
      </c>
      <c r="X18" s="147" t="s">
        <v>34</v>
      </c>
      <c r="Y18" s="151">
        <v>90</v>
      </c>
      <c r="Z18" s="147">
        <v>65</v>
      </c>
      <c r="AA18" s="147">
        <v>90</v>
      </c>
      <c r="AB18" s="147">
        <v>90</v>
      </c>
      <c r="AC18" s="147">
        <v>90</v>
      </c>
      <c r="AD18" s="51" t="s">
        <v>34</v>
      </c>
      <c r="AE18" s="280" t="s">
        <v>34</v>
      </c>
      <c r="AF18" s="147">
        <v>76</v>
      </c>
      <c r="AG18" s="151">
        <v>90</v>
      </c>
      <c r="AH18" s="117">
        <v>90</v>
      </c>
      <c r="AI18" s="117">
        <f t="shared" si="0"/>
        <v>1305</v>
      </c>
      <c r="AJ18" s="51" t="s">
        <v>34</v>
      </c>
      <c r="AK18" s="147">
        <v>90</v>
      </c>
      <c r="AL18" s="198">
        <v>25</v>
      </c>
      <c r="AM18" s="147">
        <v>85</v>
      </c>
      <c r="AN18" s="51">
        <v>90</v>
      </c>
      <c r="AO18" s="147" t="s">
        <v>34</v>
      </c>
      <c r="AP18" s="51">
        <v>90</v>
      </c>
      <c r="AQ18" s="154">
        <v>24</v>
      </c>
      <c r="AR18" s="72">
        <f t="shared" si="2"/>
        <v>404</v>
      </c>
      <c r="AS18" s="72">
        <f t="shared" si="1"/>
        <v>1709</v>
      </c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</row>
    <row r="19" spans="1:56" x14ac:dyDescent="0.25">
      <c r="A19" s="29" t="s">
        <v>139</v>
      </c>
      <c r="B19" s="274" t="s">
        <v>582</v>
      </c>
      <c r="C19" s="275" t="s">
        <v>583</v>
      </c>
      <c r="D19" s="151"/>
      <c r="E19" s="151"/>
      <c r="F19" s="115"/>
      <c r="G19" s="51"/>
      <c r="H19" s="115">
        <v>3</v>
      </c>
      <c r="I19" s="151"/>
      <c r="J19" s="115">
        <v>1</v>
      </c>
      <c r="K19" s="117">
        <v>1</v>
      </c>
      <c r="L19" s="72">
        <v>21</v>
      </c>
      <c r="M19" s="127">
        <v>15</v>
      </c>
      <c r="N19" s="101">
        <v>3</v>
      </c>
      <c r="O19" s="127">
        <v>1</v>
      </c>
      <c r="P19" s="101">
        <v>3</v>
      </c>
      <c r="Q19" s="51">
        <v>90</v>
      </c>
      <c r="R19" s="147">
        <v>90</v>
      </c>
      <c r="S19" s="147" t="s">
        <v>34</v>
      </c>
      <c r="T19" s="147" t="s">
        <v>34</v>
      </c>
      <c r="U19" s="198">
        <v>45</v>
      </c>
      <c r="V19" s="147">
        <v>90</v>
      </c>
      <c r="W19" s="147">
        <v>90</v>
      </c>
      <c r="X19" s="147">
        <v>82</v>
      </c>
      <c r="Y19" s="151">
        <v>90</v>
      </c>
      <c r="Z19" s="147">
        <v>66</v>
      </c>
      <c r="AA19" s="147">
        <v>90</v>
      </c>
      <c r="AB19" s="147">
        <v>90</v>
      </c>
      <c r="AC19" s="147">
        <v>90</v>
      </c>
      <c r="AD19" s="51">
        <v>90</v>
      </c>
      <c r="AE19" s="280">
        <v>90</v>
      </c>
      <c r="AF19" s="147">
        <v>90</v>
      </c>
      <c r="AG19" s="151">
        <v>90</v>
      </c>
      <c r="AH19" s="117">
        <v>90</v>
      </c>
      <c r="AI19" s="117">
        <f t="shared" si="0"/>
        <v>1363</v>
      </c>
      <c r="AJ19" s="51">
        <v>90</v>
      </c>
      <c r="AK19" s="147">
        <v>90</v>
      </c>
      <c r="AL19" s="147">
        <v>66</v>
      </c>
      <c r="AM19" s="147" t="s">
        <v>34</v>
      </c>
      <c r="AN19" s="51" t="s">
        <v>34</v>
      </c>
      <c r="AO19" s="198">
        <v>0</v>
      </c>
      <c r="AP19" s="198">
        <v>26</v>
      </c>
      <c r="AQ19" s="154">
        <v>19</v>
      </c>
      <c r="AR19" s="72">
        <f t="shared" si="2"/>
        <v>291</v>
      </c>
      <c r="AS19" s="72">
        <f t="shared" si="1"/>
        <v>1654</v>
      </c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</row>
    <row r="20" spans="1:56" x14ac:dyDescent="0.25">
      <c r="A20" s="29" t="s">
        <v>139</v>
      </c>
      <c r="B20" s="274" t="s">
        <v>669</v>
      </c>
      <c r="C20" s="275" t="s">
        <v>924</v>
      </c>
      <c r="D20" s="151">
        <v>1</v>
      </c>
      <c r="E20" s="151"/>
      <c r="F20" s="115"/>
      <c r="G20" s="51"/>
      <c r="H20" s="115">
        <v>3</v>
      </c>
      <c r="I20" s="151"/>
      <c r="J20" s="115"/>
      <c r="K20" s="117"/>
      <c r="L20" s="72">
        <v>12</v>
      </c>
      <c r="M20" s="127">
        <v>7</v>
      </c>
      <c r="N20" s="101">
        <v>0</v>
      </c>
      <c r="O20" s="127">
        <v>11</v>
      </c>
      <c r="P20" s="101">
        <v>6</v>
      </c>
      <c r="Q20" s="51">
        <v>90</v>
      </c>
      <c r="R20" s="147">
        <v>90</v>
      </c>
      <c r="S20" s="147">
        <v>90</v>
      </c>
      <c r="T20" s="147">
        <v>63</v>
      </c>
      <c r="U20" s="147">
        <v>90</v>
      </c>
      <c r="V20" s="147">
        <v>62</v>
      </c>
      <c r="W20" s="198">
        <v>0</v>
      </c>
      <c r="X20" s="147">
        <v>90</v>
      </c>
      <c r="Y20" s="198">
        <v>0</v>
      </c>
      <c r="Z20" s="198">
        <v>24</v>
      </c>
      <c r="AA20" s="198">
        <v>0</v>
      </c>
      <c r="AB20" s="198">
        <v>26</v>
      </c>
      <c r="AC20" s="198">
        <v>0</v>
      </c>
      <c r="AD20" s="198">
        <v>0</v>
      </c>
      <c r="AE20" s="198">
        <v>0</v>
      </c>
      <c r="AF20" s="198">
        <v>9</v>
      </c>
      <c r="AG20" s="198">
        <v>0</v>
      </c>
      <c r="AH20" s="288">
        <v>19</v>
      </c>
      <c r="AI20" s="117">
        <f t="shared" si="0"/>
        <v>653</v>
      </c>
      <c r="AJ20" s="51" t="s">
        <v>34</v>
      </c>
      <c r="AK20" s="147" t="s">
        <v>34</v>
      </c>
      <c r="AL20" s="198">
        <v>17</v>
      </c>
      <c r="AM20" s="198">
        <v>0</v>
      </c>
      <c r="AN20" s="198">
        <v>0</v>
      </c>
      <c r="AO20" s="198">
        <v>0</v>
      </c>
      <c r="AP20" s="198">
        <v>0</v>
      </c>
      <c r="AQ20" s="154">
        <v>0</v>
      </c>
      <c r="AR20" s="72">
        <f t="shared" si="2"/>
        <v>17</v>
      </c>
      <c r="AS20" s="72">
        <f t="shared" si="1"/>
        <v>670</v>
      </c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</row>
    <row r="21" spans="1:56" x14ac:dyDescent="0.25">
      <c r="A21" s="29" t="s">
        <v>139</v>
      </c>
      <c r="B21" s="274" t="s">
        <v>599</v>
      </c>
      <c r="C21" s="275" t="s">
        <v>925</v>
      </c>
      <c r="D21" s="151"/>
      <c r="E21" s="151"/>
      <c r="F21" s="115"/>
      <c r="G21" s="51"/>
      <c r="H21" s="115"/>
      <c r="I21" s="151"/>
      <c r="J21" s="115"/>
      <c r="K21" s="117"/>
      <c r="L21" s="72">
        <v>9</v>
      </c>
      <c r="M21" s="127">
        <v>1</v>
      </c>
      <c r="N21" s="101">
        <v>1</v>
      </c>
      <c r="O21" s="127">
        <v>8</v>
      </c>
      <c r="P21" s="101">
        <v>5</v>
      </c>
      <c r="Q21" s="51" t="s">
        <v>34</v>
      </c>
      <c r="R21" s="147" t="s">
        <v>34</v>
      </c>
      <c r="S21" s="147" t="s">
        <v>34</v>
      </c>
      <c r="T21" s="147" t="s">
        <v>34</v>
      </c>
      <c r="U21" s="147" t="s">
        <v>34</v>
      </c>
      <c r="V21" s="147" t="s">
        <v>34</v>
      </c>
      <c r="W21" s="147" t="s">
        <v>34</v>
      </c>
      <c r="X21" s="147" t="s">
        <v>34</v>
      </c>
      <c r="Y21" s="151" t="s">
        <v>34</v>
      </c>
      <c r="Z21" s="198">
        <v>11</v>
      </c>
      <c r="AA21" s="198">
        <v>2</v>
      </c>
      <c r="AB21" s="198">
        <v>16</v>
      </c>
      <c r="AC21" s="198">
        <v>0</v>
      </c>
      <c r="AD21" s="198">
        <v>3</v>
      </c>
      <c r="AE21" s="198">
        <v>28</v>
      </c>
      <c r="AF21" s="198">
        <v>0</v>
      </c>
      <c r="AG21" s="198">
        <v>0</v>
      </c>
      <c r="AH21" s="117">
        <v>71</v>
      </c>
      <c r="AI21" s="117">
        <f t="shared" si="0"/>
        <v>131</v>
      </c>
      <c r="AJ21" s="195">
        <v>11</v>
      </c>
      <c r="AK21" s="198">
        <v>0</v>
      </c>
      <c r="AL21" s="147">
        <v>90</v>
      </c>
      <c r="AM21" s="147" t="s">
        <v>34</v>
      </c>
      <c r="AN21" s="198">
        <v>0</v>
      </c>
      <c r="AO21" s="198">
        <v>0</v>
      </c>
      <c r="AP21" s="198">
        <v>14</v>
      </c>
      <c r="AQ21" s="280" t="s">
        <v>34</v>
      </c>
      <c r="AR21" s="72">
        <f t="shared" si="2"/>
        <v>115</v>
      </c>
      <c r="AS21" s="72">
        <f t="shared" si="1"/>
        <v>246</v>
      </c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</row>
    <row r="22" spans="1:56" x14ac:dyDescent="0.25">
      <c r="A22" s="29" t="s">
        <v>139</v>
      </c>
      <c r="B22" s="274" t="s">
        <v>804</v>
      </c>
      <c r="C22" s="275" t="s">
        <v>160</v>
      </c>
      <c r="D22" s="151"/>
      <c r="E22" s="151"/>
      <c r="F22" s="115"/>
      <c r="G22" s="51"/>
      <c r="H22" s="115"/>
      <c r="I22" s="151"/>
      <c r="J22" s="115"/>
      <c r="K22" s="117"/>
      <c r="L22" s="72">
        <v>1</v>
      </c>
      <c r="M22" s="127">
        <v>0</v>
      </c>
      <c r="N22" s="101">
        <v>0</v>
      </c>
      <c r="O22" s="127">
        <v>6</v>
      </c>
      <c r="P22" s="101">
        <v>0</v>
      </c>
      <c r="Q22" s="196">
        <v>0</v>
      </c>
      <c r="R22" s="198">
        <v>0</v>
      </c>
      <c r="S22" s="147" t="s">
        <v>34</v>
      </c>
      <c r="T22" s="147" t="s">
        <v>34</v>
      </c>
      <c r="U22" s="198">
        <v>0</v>
      </c>
      <c r="V22" s="147" t="s">
        <v>34</v>
      </c>
      <c r="W22" s="198">
        <v>0</v>
      </c>
      <c r="X22" s="198">
        <v>23</v>
      </c>
      <c r="Y22" s="198">
        <v>0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51" t="s">
        <v>34</v>
      </c>
      <c r="AE22" s="280" t="s">
        <v>34</v>
      </c>
      <c r="AF22" s="147" t="s">
        <v>34</v>
      </c>
      <c r="AG22" s="151" t="s">
        <v>34</v>
      </c>
      <c r="AH22" s="117" t="s">
        <v>34</v>
      </c>
      <c r="AI22" s="117">
        <f t="shared" si="0"/>
        <v>23</v>
      </c>
      <c r="AJ22" s="51" t="s">
        <v>34</v>
      </c>
      <c r="AK22" s="147" t="s">
        <v>34</v>
      </c>
      <c r="AL22" s="147" t="s">
        <v>34</v>
      </c>
      <c r="AM22" s="147" t="s">
        <v>34</v>
      </c>
      <c r="AN22" s="51" t="s">
        <v>34</v>
      </c>
      <c r="AO22" s="147" t="s">
        <v>34</v>
      </c>
      <c r="AP22" s="51" t="s">
        <v>34</v>
      </c>
      <c r="AQ22" s="280" t="s">
        <v>34</v>
      </c>
      <c r="AR22" s="72">
        <f t="shared" si="2"/>
        <v>0</v>
      </c>
      <c r="AS22" s="72">
        <f t="shared" si="1"/>
        <v>23</v>
      </c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</row>
    <row r="23" spans="1:56" x14ac:dyDescent="0.25">
      <c r="A23" s="29" t="s">
        <v>139</v>
      </c>
      <c r="B23" s="274" t="s">
        <v>761</v>
      </c>
      <c r="C23" s="275" t="s">
        <v>15</v>
      </c>
      <c r="D23" s="151"/>
      <c r="E23" s="151"/>
      <c r="F23" s="115"/>
      <c r="G23" s="51"/>
      <c r="H23" s="115"/>
      <c r="I23" s="151">
        <v>1</v>
      </c>
      <c r="J23" s="115"/>
      <c r="K23" s="117">
        <v>1</v>
      </c>
      <c r="L23" s="72">
        <v>3</v>
      </c>
      <c r="M23" s="127">
        <v>0</v>
      </c>
      <c r="N23" s="101">
        <v>0</v>
      </c>
      <c r="O23" s="127">
        <v>2</v>
      </c>
      <c r="P23" s="101">
        <v>2</v>
      </c>
      <c r="Q23" s="51" t="s">
        <v>34</v>
      </c>
      <c r="R23" s="147" t="s">
        <v>34</v>
      </c>
      <c r="S23" s="147" t="s">
        <v>34</v>
      </c>
      <c r="T23" s="147" t="s">
        <v>34</v>
      </c>
      <c r="U23" s="51" t="s">
        <v>34</v>
      </c>
      <c r="V23" s="147" t="s">
        <v>34</v>
      </c>
      <c r="W23" s="198">
        <v>8</v>
      </c>
      <c r="X23" s="198">
        <v>8</v>
      </c>
      <c r="Y23" s="151" t="s">
        <v>34</v>
      </c>
      <c r="Z23" s="147" t="s">
        <v>34</v>
      </c>
      <c r="AA23" s="147" t="s">
        <v>34</v>
      </c>
      <c r="AB23" s="147" t="s">
        <v>34</v>
      </c>
      <c r="AC23" s="147" t="s">
        <v>34</v>
      </c>
      <c r="AD23" s="51" t="s">
        <v>34</v>
      </c>
      <c r="AE23" s="280" t="s">
        <v>34</v>
      </c>
      <c r="AF23" s="147" t="s">
        <v>34</v>
      </c>
      <c r="AG23" s="151" t="s">
        <v>34</v>
      </c>
      <c r="AH23" s="117" t="s">
        <v>34</v>
      </c>
      <c r="AI23" s="117">
        <f t="shared" si="0"/>
        <v>16</v>
      </c>
      <c r="AJ23" s="51" t="s">
        <v>34</v>
      </c>
      <c r="AK23" s="147" t="s">
        <v>34</v>
      </c>
      <c r="AL23" s="198">
        <v>0</v>
      </c>
      <c r="AM23" s="198">
        <v>4</v>
      </c>
      <c r="AN23" s="51" t="s">
        <v>34</v>
      </c>
      <c r="AO23" s="147" t="s">
        <v>34</v>
      </c>
      <c r="AP23" s="51" t="s">
        <v>34</v>
      </c>
      <c r="AQ23" s="280" t="s">
        <v>34</v>
      </c>
      <c r="AR23" s="72">
        <f t="shared" si="2"/>
        <v>4</v>
      </c>
      <c r="AS23" s="72">
        <f t="shared" si="1"/>
        <v>20</v>
      </c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</row>
    <row r="24" spans="1:56" x14ac:dyDescent="0.25">
      <c r="A24" s="29" t="s">
        <v>139</v>
      </c>
      <c r="B24" s="274" t="s">
        <v>670</v>
      </c>
      <c r="C24" s="275" t="s">
        <v>936</v>
      </c>
      <c r="D24" s="151">
        <v>1</v>
      </c>
      <c r="E24" s="151">
        <v>2</v>
      </c>
      <c r="F24" s="115"/>
      <c r="G24" s="51"/>
      <c r="H24" s="115">
        <v>5</v>
      </c>
      <c r="I24" s="151">
        <v>1</v>
      </c>
      <c r="J24" s="115"/>
      <c r="K24" s="117"/>
      <c r="L24" s="72">
        <v>19</v>
      </c>
      <c r="M24" s="127">
        <v>15</v>
      </c>
      <c r="N24" s="101">
        <v>4</v>
      </c>
      <c r="O24" s="127">
        <v>0</v>
      </c>
      <c r="P24" s="101">
        <v>0</v>
      </c>
      <c r="Q24" s="51" t="s">
        <v>34</v>
      </c>
      <c r="R24" s="147">
        <v>90</v>
      </c>
      <c r="S24" s="147">
        <v>90</v>
      </c>
      <c r="T24" s="147">
        <v>90</v>
      </c>
      <c r="U24" s="51">
        <v>90</v>
      </c>
      <c r="V24" s="147">
        <v>90</v>
      </c>
      <c r="W24" s="51">
        <v>47</v>
      </c>
      <c r="X24" s="147">
        <v>90</v>
      </c>
      <c r="Y24" s="151">
        <v>90</v>
      </c>
      <c r="Z24" s="147">
        <v>90</v>
      </c>
      <c r="AA24" s="147">
        <v>90</v>
      </c>
      <c r="AB24" s="147">
        <v>90</v>
      </c>
      <c r="AC24" s="147">
        <v>90</v>
      </c>
      <c r="AD24" s="51" t="s">
        <v>34</v>
      </c>
      <c r="AE24" s="280" t="s">
        <v>34</v>
      </c>
      <c r="AF24" s="147">
        <v>90</v>
      </c>
      <c r="AG24" s="151">
        <v>90</v>
      </c>
      <c r="AH24" s="117">
        <v>90</v>
      </c>
      <c r="AI24" s="117">
        <f t="shared" si="0"/>
        <v>1307</v>
      </c>
      <c r="AJ24" s="51" t="s">
        <v>34</v>
      </c>
      <c r="AK24" s="147">
        <v>90</v>
      </c>
      <c r="AL24" s="147" t="s">
        <v>34</v>
      </c>
      <c r="AM24" s="147">
        <v>90</v>
      </c>
      <c r="AN24" s="51" t="s">
        <v>34</v>
      </c>
      <c r="AO24" s="147">
        <v>90</v>
      </c>
      <c r="AP24" s="51" t="s">
        <v>34</v>
      </c>
      <c r="AQ24" s="280">
        <v>71</v>
      </c>
      <c r="AR24" s="72">
        <f t="shared" si="2"/>
        <v>341</v>
      </c>
      <c r="AS24" s="72">
        <f t="shared" si="1"/>
        <v>1648</v>
      </c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</row>
    <row r="25" spans="1:56" x14ac:dyDescent="0.25">
      <c r="A25" s="29" t="s">
        <v>139</v>
      </c>
      <c r="B25" s="274" t="s">
        <v>759</v>
      </c>
      <c r="C25" s="275" t="s">
        <v>760</v>
      </c>
      <c r="D25" s="151">
        <v>1</v>
      </c>
      <c r="E25" s="151">
        <v>2</v>
      </c>
      <c r="F25" s="115"/>
      <c r="G25" s="51"/>
      <c r="H25" s="115">
        <v>2</v>
      </c>
      <c r="I25" s="151"/>
      <c r="J25" s="115"/>
      <c r="K25" s="117"/>
      <c r="L25" s="72">
        <v>17</v>
      </c>
      <c r="M25" s="127">
        <v>5</v>
      </c>
      <c r="N25" s="101">
        <v>5</v>
      </c>
      <c r="O25" s="127">
        <v>10</v>
      </c>
      <c r="P25" s="101">
        <v>3</v>
      </c>
      <c r="Q25" s="51">
        <v>90</v>
      </c>
      <c r="R25" s="147">
        <v>90</v>
      </c>
      <c r="S25" s="147" t="s">
        <v>34</v>
      </c>
      <c r="T25" s="198">
        <v>45</v>
      </c>
      <c r="U25" s="51">
        <v>90</v>
      </c>
      <c r="V25" s="198">
        <v>0</v>
      </c>
      <c r="W25" s="198">
        <v>43</v>
      </c>
      <c r="X25" s="147">
        <v>90</v>
      </c>
      <c r="Y25" s="198">
        <v>0</v>
      </c>
      <c r="Z25" s="198">
        <v>0</v>
      </c>
      <c r="AA25" s="198">
        <v>0</v>
      </c>
      <c r="AB25" s="198">
        <v>0</v>
      </c>
      <c r="AC25" s="198">
        <v>13</v>
      </c>
      <c r="AD25" s="51">
        <v>90</v>
      </c>
      <c r="AE25" s="280" t="s">
        <v>34</v>
      </c>
      <c r="AF25" s="198">
        <v>14</v>
      </c>
      <c r="AG25" s="151" t="s">
        <v>34</v>
      </c>
      <c r="AH25" s="288">
        <v>12</v>
      </c>
      <c r="AI25" s="117">
        <f t="shared" si="0"/>
        <v>577</v>
      </c>
      <c r="AJ25" s="195">
        <v>4</v>
      </c>
      <c r="AK25" s="198">
        <v>20</v>
      </c>
      <c r="AL25" s="198">
        <v>0</v>
      </c>
      <c r="AM25" s="147">
        <v>90</v>
      </c>
      <c r="AN25" s="51">
        <v>90</v>
      </c>
      <c r="AO25" s="147">
        <v>90</v>
      </c>
      <c r="AP25" s="51">
        <v>90</v>
      </c>
      <c r="AQ25" s="280">
        <v>90</v>
      </c>
      <c r="AR25" s="72">
        <f t="shared" si="2"/>
        <v>474</v>
      </c>
      <c r="AS25" s="72">
        <f t="shared" si="1"/>
        <v>1051</v>
      </c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</row>
    <row r="26" spans="1:56" x14ac:dyDescent="0.25">
      <c r="A26" s="29" t="s">
        <v>139</v>
      </c>
      <c r="B26" s="274" t="s">
        <v>486</v>
      </c>
      <c r="C26" s="275" t="s">
        <v>938</v>
      </c>
      <c r="D26" s="151">
        <v>2</v>
      </c>
      <c r="E26" s="151">
        <v>1</v>
      </c>
      <c r="F26" s="115"/>
      <c r="G26" s="51"/>
      <c r="H26" s="115">
        <v>3</v>
      </c>
      <c r="I26" s="151"/>
      <c r="J26" s="115"/>
      <c r="K26" s="117"/>
      <c r="L26" s="72">
        <v>24</v>
      </c>
      <c r="M26" s="127">
        <v>16</v>
      </c>
      <c r="N26" s="101">
        <v>8</v>
      </c>
      <c r="O26" s="127">
        <v>2</v>
      </c>
      <c r="P26" s="101">
        <v>0</v>
      </c>
      <c r="Q26" s="196">
        <v>0</v>
      </c>
      <c r="R26" s="195">
        <v>0</v>
      </c>
      <c r="S26" s="147">
        <v>90</v>
      </c>
      <c r="T26" s="147">
        <v>45</v>
      </c>
      <c r="U26" s="51">
        <v>90</v>
      </c>
      <c r="V26" s="147">
        <v>90</v>
      </c>
      <c r="W26" s="51">
        <v>90</v>
      </c>
      <c r="X26" s="147">
        <v>90</v>
      </c>
      <c r="Y26" s="151">
        <v>90</v>
      </c>
      <c r="Z26" s="147">
        <v>90</v>
      </c>
      <c r="AA26" s="147">
        <v>90</v>
      </c>
      <c r="AB26" s="147">
        <v>64</v>
      </c>
      <c r="AC26" s="147">
        <v>84</v>
      </c>
      <c r="AD26" s="51">
        <v>87</v>
      </c>
      <c r="AE26" s="280">
        <v>87</v>
      </c>
      <c r="AF26" s="147">
        <v>89</v>
      </c>
      <c r="AG26" s="151">
        <v>90</v>
      </c>
      <c r="AH26" s="117">
        <v>90</v>
      </c>
      <c r="AI26" s="117">
        <f t="shared" si="0"/>
        <v>1356</v>
      </c>
      <c r="AJ26" s="51">
        <v>65</v>
      </c>
      <c r="AK26" s="147">
        <v>84</v>
      </c>
      <c r="AL26" s="147">
        <v>65</v>
      </c>
      <c r="AM26" s="147">
        <v>85</v>
      </c>
      <c r="AN26" s="51">
        <v>90</v>
      </c>
      <c r="AO26" s="147">
        <v>90</v>
      </c>
      <c r="AP26" s="51">
        <v>90</v>
      </c>
      <c r="AQ26" s="280">
        <v>90</v>
      </c>
      <c r="AR26" s="72">
        <f t="shared" si="2"/>
        <v>659</v>
      </c>
      <c r="AS26" s="72">
        <f t="shared" si="1"/>
        <v>2015</v>
      </c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</row>
    <row r="27" spans="1:56" x14ac:dyDescent="0.25">
      <c r="A27" s="29" t="s">
        <v>139</v>
      </c>
      <c r="B27" s="274" t="s">
        <v>604</v>
      </c>
      <c r="C27" s="275" t="s">
        <v>795</v>
      </c>
      <c r="D27" s="151">
        <v>2</v>
      </c>
      <c r="E27" s="151"/>
      <c r="F27" s="115"/>
      <c r="G27" s="51"/>
      <c r="H27" s="115">
        <v>2</v>
      </c>
      <c r="I27" s="151">
        <v>1</v>
      </c>
      <c r="J27" s="115"/>
      <c r="K27" s="117"/>
      <c r="L27" s="72">
        <v>15</v>
      </c>
      <c r="M27" s="127">
        <v>6</v>
      </c>
      <c r="N27" s="101">
        <v>3</v>
      </c>
      <c r="O27" s="127">
        <v>8</v>
      </c>
      <c r="P27" s="101">
        <v>4</v>
      </c>
      <c r="Q27" s="51" t="s">
        <v>34</v>
      </c>
      <c r="R27" s="147" t="s">
        <v>34</v>
      </c>
      <c r="S27" s="198">
        <v>8</v>
      </c>
      <c r="T27" s="198">
        <v>27</v>
      </c>
      <c r="U27" s="198">
        <v>0</v>
      </c>
      <c r="V27" s="147">
        <v>90</v>
      </c>
      <c r="W27" s="51" t="s">
        <v>34</v>
      </c>
      <c r="X27" s="147" t="s">
        <v>34</v>
      </c>
      <c r="Y27" s="198">
        <v>0</v>
      </c>
      <c r="Z27" s="198">
        <v>25</v>
      </c>
      <c r="AA27" s="198">
        <v>11</v>
      </c>
      <c r="AB27" s="198">
        <v>0</v>
      </c>
      <c r="AC27" s="198">
        <v>6</v>
      </c>
      <c r="AD27" s="51">
        <v>90</v>
      </c>
      <c r="AE27" s="280">
        <v>90</v>
      </c>
      <c r="AF27" s="147">
        <v>90</v>
      </c>
      <c r="AG27" s="151">
        <v>90</v>
      </c>
      <c r="AH27" s="117">
        <v>58</v>
      </c>
      <c r="AI27" s="117">
        <f t="shared" si="0"/>
        <v>585</v>
      </c>
      <c r="AJ27" s="195">
        <v>0</v>
      </c>
      <c r="AK27" s="198">
        <v>0</v>
      </c>
      <c r="AL27" s="147" t="s">
        <v>34</v>
      </c>
      <c r="AM27" s="198">
        <v>19</v>
      </c>
      <c r="AN27" s="198">
        <v>0</v>
      </c>
      <c r="AO27" s="147">
        <v>90</v>
      </c>
      <c r="AP27" s="51">
        <v>64</v>
      </c>
      <c r="AQ27" s="280">
        <v>90</v>
      </c>
      <c r="AR27" s="72">
        <f t="shared" si="2"/>
        <v>263</v>
      </c>
      <c r="AS27" s="72">
        <f t="shared" si="1"/>
        <v>848</v>
      </c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</row>
    <row r="28" spans="1:56" x14ac:dyDescent="0.25">
      <c r="A28" s="29" t="s">
        <v>139</v>
      </c>
      <c r="B28" s="274" t="s">
        <v>590</v>
      </c>
      <c r="C28" s="275" t="s">
        <v>692</v>
      </c>
      <c r="D28" s="151">
        <v>2</v>
      </c>
      <c r="E28" s="151"/>
      <c r="F28" s="115"/>
      <c r="G28" s="51"/>
      <c r="H28" s="115">
        <v>1</v>
      </c>
      <c r="I28" s="151"/>
      <c r="J28" s="115"/>
      <c r="K28" s="117"/>
      <c r="L28" s="72">
        <v>24</v>
      </c>
      <c r="M28" s="127">
        <v>15</v>
      </c>
      <c r="N28" s="101">
        <v>8</v>
      </c>
      <c r="O28" s="127">
        <v>2</v>
      </c>
      <c r="P28" s="101">
        <v>0</v>
      </c>
      <c r="Q28" s="51">
        <v>72</v>
      </c>
      <c r="R28" s="198">
        <v>20</v>
      </c>
      <c r="S28" s="147">
        <v>82</v>
      </c>
      <c r="T28" s="147">
        <v>90</v>
      </c>
      <c r="U28" s="51">
        <v>90</v>
      </c>
      <c r="V28" s="198">
        <v>0</v>
      </c>
      <c r="W28" s="51">
        <v>82</v>
      </c>
      <c r="X28" s="147">
        <v>67</v>
      </c>
      <c r="Y28" s="151">
        <v>90</v>
      </c>
      <c r="Z28" s="147">
        <v>79</v>
      </c>
      <c r="AA28" s="147">
        <v>88</v>
      </c>
      <c r="AB28" s="147">
        <v>74</v>
      </c>
      <c r="AC28" s="147">
        <v>90</v>
      </c>
      <c r="AD28" s="51">
        <v>87</v>
      </c>
      <c r="AE28" s="280">
        <v>90</v>
      </c>
      <c r="AF28" s="147">
        <v>90</v>
      </c>
      <c r="AG28" s="151">
        <v>90</v>
      </c>
      <c r="AH28" s="117" t="s">
        <v>34</v>
      </c>
      <c r="AI28" s="117">
        <f t="shared" si="0"/>
        <v>1281</v>
      </c>
      <c r="AJ28" s="51">
        <v>86</v>
      </c>
      <c r="AK28" s="147">
        <v>88</v>
      </c>
      <c r="AL28" s="147">
        <v>55</v>
      </c>
      <c r="AM28" s="147">
        <v>71</v>
      </c>
      <c r="AN28" s="51">
        <v>90</v>
      </c>
      <c r="AO28" s="147">
        <v>90</v>
      </c>
      <c r="AP28" s="51">
        <v>76</v>
      </c>
      <c r="AQ28" s="280">
        <v>78</v>
      </c>
      <c r="AR28" s="72">
        <f t="shared" si="2"/>
        <v>634</v>
      </c>
      <c r="AS28" s="72">
        <f t="shared" si="1"/>
        <v>1915</v>
      </c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</row>
    <row r="29" spans="1:56" x14ac:dyDescent="0.25">
      <c r="A29" s="29" t="s">
        <v>139</v>
      </c>
      <c r="B29" s="274" t="s">
        <v>682</v>
      </c>
      <c r="C29" s="207" t="s">
        <v>942</v>
      </c>
      <c r="D29" s="151"/>
      <c r="E29" s="151"/>
      <c r="F29" s="115"/>
      <c r="G29" s="51"/>
      <c r="H29" s="115"/>
      <c r="I29" s="151"/>
      <c r="J29" s="115"/>
      <c r="K29" s="117"/>
      <c r="L29" s="72">
        <v>4</v>
      </c>
      <c r="M29" s="127">
        <v>4</v>
      </c>
      <c r="N29" s="101">
        <v>0</v>
      </c>
      <c r="O29" s="127">
        <v>2</v>
      </c>
      <c r="P29" s="101">
        <v>1</v>
      </c>
      <c r="Q29" s="51">
        <v>90</v>
      </c>
      <c r="R29" s="147">
        <v>61</v>
      </c>
      <c r="S29" s="147">
        <v>87</v>
      </c>
      <c r="T29" s="147">
        <v>45</v>
      </c>
      <c r="U29" s="51" t="s">
        <v>34</v>
      </c>
      <c r="V29" s="147" t="s">
        <v>34</v>
      </c>
      <c r="W29" s="51" t="s">
        <v>34</v>
      </c>
      <c r="X29" s="147" t="s">
        <v>34</v>
      </c>
      <c r="Y29" s="198">
        <v>0</v>
      </c>
      <c r="Z29" s="147" t="s">
        <v>34</v>
      </c>
      <c r="AA29" s="147" t="s">
        <v>34</v>
      </c>
      <c r="AB29" s="147" t="s">
        <v>34</v>
      </c>
      <c r="AC29" s="147" t="s">
        <v>34</v>
      </c>
      <c r="AD29" s="51" t="s">
        <v>34</v>
      </c>
      <c r="AE29" s="280" t="s">
        <v>34</v>
      </c>
      <c r="AF29" s="147" t="s">
        <v>34</v>
      </c>
      <c r="AG29" s="151" t="s">
        <v>34</v>
      </c>
      <c r="AH29" s="288">
        <v>0</v>
      </c>
      <c r="AI29" s="117">
        <f t="shared" si="0"/>
        <v>283</v>
      </c>
      <c r="AJ29" s="51" t="s">
        <v>34</v>
      </c>
      <c r="AK29" s="147" t="s">
        <v>34</v>
      </c>
      <c r="AL29" s="147" t="s">
        <v>34</v>
      </c>
      <c r="AM29" s="147" t="s">
        <v>34</v>
      </c>
      <c r="AN29" s="51" t="s">
        <v>34</v>
      </c>
      <c r="AO29" s="147" t="s">
        <v>34</v>
      </c>
      <c r="AP29" s="51" t="s">
        <v>34</v>
      </c>
      <c r="AQ29" s="154">
        <v>0</v>
      </c>
      <c r="AR29" s="72">
        <f t="shared" si="2"/>
        <v>0</v>
      </c>
      <c r="AS29" s="72">
        <f t="shared" si="1"/>
        <v>283</v>
      </c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</row>
    <row r="30" spans="1:56" x14ac:dyDescent="0.25">
      <c r="A30" s="30" t="s">
        <v>140</v>
      </c>
      <c r="B30" s="274" t="s">
        <v>587</v>
      </c>
      <c r="C30" s="275" t="s">
        <v>588</v>
      </c>
      <c r="D30" s="151">
        <v>4</v>
      </c>
      <c r="E30" s="151">
        <v>3</v>
      </c>
      <c r="F30" s="115"/>
      <c r="G30" s="51"/>
      <c r="H30" s="115">
        <v>4</v>
      </c>
      <c r="I30" s="151"/>
      <c r="J30" s="115"/>
      <c r="K30" s="117"/>
      <c r="L30" s="72">
        <v>25</v>
      </c>
      <c r="M30" s="127">
        <v>16</v>
      </c>
      <c r="N30" s="101">
        <v>7</v>
      </c>
      <c r="O30" s="127">
        <v>2</v>
      </c>
      <c r="P30" s="101">
        <v>1</v>
      </c>
      <c r="Q30" s="196">
        <v>0</v>
      </c>
      <c r="R30" s="198">
        <v>29</v>
      </c>
      <c r="S30" s="147">
        <v>90</v>
      </c>
      <c r="T30" s="147">
        <v>90</v>
      </c>
      <c r="U30" s="51">
        <v>90</v>
      </c>
      <c r="V30" s="147">
        <v>90</v>
      </c>
      <c r="W30" s="51">
        <v>67</v>
      </c>
      <c r="X30" s="147">
        <v>90</v>
      </c>
      <c r="Y30" s="151">
        <v>90</v>
      </c>
      <c r="Z30" s="147">
        <v>90</v>
      </c>
      <c r="AA30" s="147">
        <v>79</v>
      </c>
      <c r="AB30" s="147">
        <v>90</v>
      </c>
      <c r="AC30" s="147">
        <v>77</v>
      </c>
      <c r="AD30" s="51">
        <v>90</v>
      </c>
      <c r="AE30" s="280">
        <v>71</v>
      </c>
      <c r="AF30" s="147">
        <v>81</v>
      </c>
      <c r="AG30" s="151">
        <v>90</v>
      </c>
      <c r="AH30" s="117">
        <v>78</v>
      </c>
      <c r="AI30" s="117">
        <f t="shared" si="0"/>
        <v>1382</v>
      </c>
      <c r="AJ30" s="51">
        <v>90</v>
      </c>
      <c r="AK30" s="147">
        <v>70</v>
      </c>
      <c r="AL30" s="198">
        <v>35</v>
      </c>
      <c r="AM30" s="147">
        <v>90</v>
      </c>
      <c r="AN30" s="51">
        <v>90</v>
      </c>
      <c r="AO30" s="147">
        <v>90</v>
      </c>
      <c r="AP30" s="51">
        <v>90</v>
      </c>
      <c r="AQ30" s="280">
        <v>66</v>
      </c>
      <c r="AR30" s="72">
        <f t="shared" si="2"/>
        <v>621</v>
      </c>
      <c r="AS30" s="72">
        <f t="shared" si="1"/>
        <v>2003</v>
      </c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</row>
    <row r="31" spans="1:56" x14ac:dyDescent="0.25">
      <c r="A31" s="30" t="s">
        <v>140</v>
      </c>
      <c r="B31" s="274" t="s">
        <v>667</v>
      </c>
      <c r="C31" s="275" t="s">
        <v>668</v>
      </c>
      <c r="D31" s="151"/>
      <c r="E31" s="151">
        <v>3</v>
      </c>
      <c r="F31" s="115"/>
      <c r="G31" s="51"/>
      <c r="H31" s="115"/>
      <c r="I31" s="151"/>
      <c r="J31" s="115"/>
      <c r="K31" s="117">
        <v>1</v>
      </c>
      <c r="L31" s="72">
        <v>7</v>
      </c>
      <c r="M31" s="127">
        <v>0</v>
      </c>
      <c r="N31" s="101">
        <v>7</v>
      </c>
      <c r="O31" s="127">
        <v>0</v>
      </c>
      <c r="P31" s="101">
        <v>0</v>
      </c>
      <c r="Q31" s="51" t="s">
        <v>34</v>
      </c>
      <c r="R31" s="147" t="s">
        <v>34</v>
      </c>
      <c r="S31" s="147" t="s">
        <v>34</v>
      </c>
      <c r="T31" s="147" t="s">
        <v>34</v>
      </c>
      <c r="U31" s="51" t="s">
        <v>34</v>
      </c>
      <c r="V31" s="147" t="s">
        <v>34</v>
      </c>
      <c r="W31" s="51" t="s">
        <v>34</v>
      </c>
      <c r="X31" s="147" t="s">
        <v>34</v>
      </c>
      <c r="Y31" s="151" t="s">
        <v>34</v>
      </c>
      <c r="Z31" s="151" t="s">
        <v>34</v>
      </c>
      <c r="AA31" s="151" t="s">
        <v>34</v>
      </c>
      <c r="AB31" s="151" t="s">
        <v>34</v>
      </c>
      <c r="AC31" s="147" t="s">
        <v>34</v>
      </c>
      <c r="AD31" s="51" t="s">
        <v>34</v>
      </c>
      <c r="AE31" s="280" t="s">
        <v>34</v>
      </c>
      <c r="AF31" s="147" t="s">
        <v>34</v>
      </c>
      <c r="AG31" s="151" t="s">
        <v>34</v>
      </c>
      <c r="AH31" s="117" t="s">
        <v>34</v>
      </c>
      <c r="AI31" s="117">
        <f t="shared" si="0"/>
        <v>0</v>
      </c>
      <c r="AJ31" s="51">
        <v>90</v>
      </c>
      <c r="AK31" s="147">
        <v>90</v>
      </c>
      <c r="AL31" s="147">
        <v>90</v>
      </c>
      <c r="AM31" s="147">
        <v>90</v>
      </c>
      <c r="AN31" s="51">
        <v>90</v>
      </c>
      <c r="AO31" s="147">
        <v>90</v>
      </c>
      <c r="AP31" s="51" t="s">
        <v>34</v>
      </c>
      <c r="AQ31" s="280">
        <v>90</v>
      </c>
      <c r="AR31" s="72">
        <f t="shared" si="2"/>
        <v>630</v>
      </c>
      <c r="AS31" s="72">
        <f t="shared" si="1"/>
        <v>630</v>
      </c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</row>
    <row r="32" spans="1:56" x14ac:dyDescent="0.25">
      <c r="A32" s="30" t="s">
        <v>140</v>
      </c>
      <c r="B32" s="274" t="s">
        <v>343</v>
      </c>
      <c r="C32" s="207" t="s">
        <v>945</v>
      </c>
      <c r="D32" s="151"/>
      <c r="E32" s="151"/>
      <c r="F32" s="115"/>
      <c r="G32" s="51"/>
      <c r="H32" s="115"/>
      <c r="I32" s="151"/>
      <c r="J32" s="115"/>
      <c r="K32" s="117"/>
      <c r="L32" s="72">
        <v>4</v>
      </c>
      <c r="M32" s="127">
        <v>0</v>
      </c>
      <c r="N32" s="101">
        <v>0</v>
      </c>
      <c r="O32" s="127">
        <v>6</v>
      </c>
      <c r="P32" s="101">
        <v>2</v>
      </c>
      <c r="Q32" s="51" t="s">
        <v>34</v>
      </c>
      <c r="R32" s="198">
        <v>16</v>
      </c>
      <c r="S32" s="198">
        <v>3</v>
      </c>
      <c r="T32" s="198">
        <v>0</v>
      </c>
      <c r="U32" s="198">
        <v>0</v>
      </c>
      <c r="V32" s="198">
        <v>22</v>
      </c>
      <c r="W32" s="147" t="s">
        <v>34</v>
      </c>
      <c r="X32" s="147" t="s">
        <v>34</v>
      </c>
      <c r="Y32" s="151" t="s">
        <v>34</v>
      </c>
      <c r="Z32" s="151" t="s">
        <v>34</v>
      </c>
      <c r="AA32" s="151" t="s">
        <v>34</v>
      </c>
      <c r="AB32" s="151" t="s">
        <v>34</v>
      </c>
      <c r="AC32" s="147" t="s">
        <v>34</v>
      </c>
      <c r="AD32" s="51" t="s">
        <v>34</v>
      </c>
      <c r="AE32" s="198">
        <v>19</v>
      </c>
      <c r="AF32" s="147" t="s">
        <v>34</v>
      </c>
      <c r="AG32" s="151" t="s">
        <v>34</v>
      </c>
      <c r="AH32" s="117" t="s">
        <v>34</v>
      </c>
      <c r="AI32" s="117">
        <f t="shared" si="0"/>
        <v>60</v>
      </c>
      <c r="AJ32" s="51" t="s">
        <v>34</v>
      </c>
      <c r="AK32" s="147" t="s">
        <v>34</v>
      </c>
      <c r="AL32" s="147" t="s">
        <v>34</v>
      </c>
      <c r="AM32" s="147" t="s">
        <v>34</v>
      </c>
      <c r="AN32" s="198">
        <v>0</v>
      </c>
      <c r="AO32" s="147" t="s">
        <v>34</v>
      </c>
      <c r="AP32" s="198">
        <v>0</v>
      </c>
      <c r="AQ32" s="280" t="s">
        <v>34</v>
      </c>
      <c r="AR32" s="72">
        <f t="shared" si="2"/>
        <v>0</v>
      </c>
      <c r="AS32" s="72">
        <f t="shared" si="1"/>
        <v>60</v>
      </c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</row>
    <row r="33" spans="1:56" x14ac:dyDescent="0.25">
      <c r="A33" s="30" t="s">
        <v>140</v>
      </c>
      <c r="B33" s="274" t="s">
        <v>356</v>
      </c>
      <c r="C33" s="275" t="s">
        <v>31</v>
      </c>
      <c r="D33" s="151">
        <v>1</v>
      </c>
      <c r="E33" s="151"/>
      <c r="F33" s="115"/>
      <c r="G33" s="51"/>
      <c r="H33" s="115">
        <v>2</v>
      </c>
      <c r="I33" s="151"/>
      <c r="J33" s="115"/>
      <c r="K33" s="117"/>
      <c r="L33" s="72">
        <v>12</v>
      </c>
      <c r="M33" s="127">
        <v>11</v>
      </c>
      <c r="N33" s="101">
        <v>0</v>
      </c>
      <c r="O33" s="127">
        <v>2</v>
      </c>
      <c r="P33" s="101">
        <v>4</v>
      </c>
      <c r="Q33" s="51">
        <v>80</v>
      </c>
      <c r="R33" s="147">
        <v>74</v>
      </c>
      <c r="S33" s="147">
        <v>58</v>
      </c>
      <c r="T33" s="198">
        <v>0</v>
      </c>
      <c r="U33" s="51" t="s">
        <v>34</v>
      </c>
      <c r="V33" s="198">
        <v>10</v>
      </c>
      <c r="W33" s="51">
        <v>90</v>
      </c>
      <c r="X33" s="147">
        <v>67</v>
      </c>
      <c r="Y33" s="151">
        <v>90</v>
      </c>
      <c r="Z33" s="151">
        <v>90</v>
      </c>
      <c r="AA33" s="151">
        <v>61</v>
      </c>
      <c r="AB33" s="151">
        <v>64</v>
      </c>
      <c r="AC33" s="147">
        <v>87</v>
      </c>
      <c r="AD33" s="51">
        <v>80</v>
      </c>
      <c r="AE33" s="280" t="s">
        <v>34</v>
      </c>
      <c r="AF33" s="147" t="s">
        <v>34</v>
      </c>
      <c r="AG33" s="151" t="s">
        <v>34</v>
      </c>
      <c r="AH33" s="117" t="s">
        <v>34</v>
      </c>
      <c r="AI33" s="117">
        <f t="shared" si="0"/>
        <v>851</v>
      </c>
      <c r="AJ33" s="195">
        <v>0</v>
      </c>
      <c r="AK33" s="198">
        <v>0</v>
      </c>
      <c r="AL33" s="147" t="s">
        <v>34</v>
      </c>
      <c r="AM33" s="198">
        <v>0</v>
      </c>
      <c r="AN33" s="51" t="s">
        <v>34</v>
      </c>
      <c r="AO33" s="198">
        <v>0</v>
      </c>
      <c r="AP33" s="51" t="s">
        <v>34</v>
      </c>
      <c r="AQ33" s="280" t="s">
        <v>34</v>
      </c>
      <c r="AR33" s="72">
        <f t="shared" si="2"/>
        <v>0</v>
      </c>
      <c r="AS33" s="72">
        <f t="shared" si="1"/>
        <v>851</v>
      </c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</row>
    <row r="34" spans="1:56" ht="15.75" thickBot="1" x14ac:dyDescent="0.3">
      <c r="A34" s="31" t="s">
        <v>140</v>
      </c>
      <c r="B34" s="283" t="s">
        <v>678</v>
      </c>
      <c r="C34" s="284" t="s">
        <v>679</v>
      </c>
      <c r="D34" s="212"/>
      <c r="E34" s="212"/>
      <c r="F34" s="123"/>
      <c r="G34" s="124"/>
      <c r="H34" s="123"/>
      <c r="I34" s="212"/>
      <c r="J34" s="123"/>
      <c r="K34" s="293"/>
      <c r="L34" s="73">
        <v>15</v>
      </c>
      <c r="M34" s="121">
        <v>4</v>
      </c>
      <c r="N34" s="122">
        <v>1</v>
      </c>
      <c r="O34" s="121">
        <v>11</v>
      </c>
      <c r="P34" s="122">
        <v>7</v>
      </c>
      <c r="Q34" s="294">
        <v>10</v>
      </c>
      <c r="R34" s="285" t="s">
        <v>34</v>
      </c>
      <c r="S34" s="291">
        <v>32</v>
      </c>
      <c r="T34" s="291">
        <v>0</v>
      </c>
      <c r="U34" s="285">
        <v>90</v>
      </c>
      <c r="V34" s="285">
        <v>58</v>
      </c>
      <c r="W34" s="285">
        <v>90</v>
      </c>
      <c r="X34" s="285" t="s">
        <v>34</v>
      </c>
      <c r="Y34" s="212" t="s">
        <v>34</v>
      </c>
      <c r="Z34" s="291">
        <v>0</v>
      </c>
      <c r="AA34" s="291">
        <v>29</v>
      </c>
      <c r="AB34" s="291">
        <v>26</v>
      </c>
      <c r="AC34" s="291">
        <v>0</v>
      </c>
      <c r="AD34" s="291">
        <v>10</v>
      </c>
      <c r="AE34" s="292">
        <v>62</v>
      </c>
      <c r="AF34" s="291">
        <v>0</v>
      </c>
      <c r="AG34" s="291">
        <v>0</v>
      </c>
      <c r="AH34" s="319">
        <v>32</v>
      </c>
      <c r="AI34" s="73">
        <f t="shared" si="0"/>
        <v>439</v>
      </c>
      <c r="AJ34" s="294">
        <v>25</v>
      </c>
      <c r="AK34" s="291">
        <v>6</v>
      </c>
      <c r="AL34" s="285">
        <v>73</v>
      </c>
      <c r="AM34" s="291">
        <v>0</v>
      </c>
      <c r="AN34" s="291">
        <v>0</v>
      </c>
      <c r="AO34" s="291">
        <v>0</v>
      </c>
      <c r="AP34" s="291">
        <v>5</v>
      </c>
      <c r="AQ34" s="320">
        <v>12</v>
      </c>
      <c r="AR34" s="73">
        <f t="shared" si="2"/>
        <v>121</v>
      </c>
      <c r="AS34" s="23">
        <f t="shared" si="1"/>
        <v>560</v>
      </c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</row>
    <row r="35" spans="1:56" ht="15.75" thickBot="1" x14ac:dyDescent="0.3">
      <c r="A35" s="75"/>
      <c r="B35" s="295"/>
      <c r="C35" s="296" t="s">
        <v>35</v>
      </c>
      <c r="D35" s="405">
        <v>0</v>
      </c>
      <c r="E35" s="406"/>
      <c r="F35" s="405" t="s">
        <v>171</v>
      </c>
      <c r="G35" s="406"/>
      <c r="H35" s="405" t="s">
        <v>171</v>
      </c>
      <c r="I35" s="406"/>
      <c r="J35" s="405" t="s">
        <v>171</v>
      </c>
      <c r="K35" s="406"/>
      <c r="L35" s="321" t="s">
        <v>364</v>
      </c>
      <c r="M35" s="407" t="s">
        <v>171</v>
      </c>
      <c r="N35" s="408"/>
      <c r="O35" s="407" t="s">
        <v>171</v>
      </c>
      <c r="P35" s="408"/>
      <c r="Q35" s="318" t="s">
        <v>171</v>
      </c>
      <c r="R35" s="318" t="s">
        <v>171</v>
      </c>
      <c r="S35" s="318" t="s">
        <v>171</v>
      </c>
      <c r="T35" s="318" t="s">
        <v>171</v>
      </c>
      <c r="U35" s="318" t="s">
        <v>171</v>
      </c>
      <c r="V35" s="318" t="s">
        <v>171</v>
      </c>
      <c r="W35" s="318" t="s">
        <v>171</v>
      </c>
      <c r="X35" s="318" t="s">
        <v>171</v>
      </c>
      <c r="Y35" s="318" t="s">
        <v>171</v>
      </c>
      <c r="Z35" s="318" t="s">
        <v>171</v>
      </c>
      <c r="AA35" s="318" t="s">
        <v>171</v>
      </c>
      <c r="AB35" s="318" t="s">
        <v>171</v>
      </c>
      <c r="AC35" s="318" t="s">
        <v>171</v>
      </c>
      <c r="AD35" s="318" t="s">
        <v>171</v>
      </c>
      <c r="AE35" s="318" t="s">
        <v>171</v>
      </c>
      <c r="AF35" s="318" t="s">
        <v>171</v>
      </c>
      <c r="AG35" s="318" t="s">
        <v>171</v>
      </c>
      <c r="AH35" s="318" t="s">
        <v>171</v>
      </c>
      <c r="AI35" s="318" t="s">
        <v>171</v>
      </c>
      <c r="AJ35" s="318" t="s">
        <v>171</v>
      </c>
      <c r="AK35" s="318" t="s">
        <v>171</v>
      </c>
      <c r="AL35" s="318" t="s">
        <v>171</v>
      </c>
      <c r="AM35" s="318" t="s">
        <v>171</v>
      </c>
      <c r="AN35" s="318" t="s">
        <v>171</v>
      </c>
      <c r="AO35" s="318" t="s">
        <v>171</v>
      </c>
      <c r="AP35" s="318" t="s">
        <v>171</v>
      </c>
      <c r="AQ35" s="318" t="s">
        <v>171</v>
      </c>
      <c r="AR35" s="318" t="s">
        <v>171</v>
      </c>
      <c r="AS35" s="318" t="s">
        <v>171</v>
      </c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</row>
    <row r="36" spans="1:56" ht="15.75" thickBot="1" x14ac:dyDescent="0.3">
      <c r="A36" s="75"/>
      <c r="B36" s="295"/>
      <c r="C36" s="300" t="s">
        <v>172</v>
      </c>
      <c r="D36" s="322">
        <f>SUM(D8:D34)</f>
        <v>15</v>
      </c>
      <c r="E36" s="53">
        <f>SUM(E8:E34)</f>
        <v>14</v>
      </c>
      <c r="F36" s="322">
        <f t="shared" ref="F36:K36" si="3">SUM(F4:F34)</f>
        <v>0</v>
      </c>
      <c r="G36" s="53">
        <f t="shared" si="3"/>
        <v>0</v>
      </c>
      <c r="H36" s="322">
        <f t="shared" si="3"/>
        <v>45</v>
      </c>
      <c r="I36" s="53">
        <f t="shared" si="3"/>
        <v>12</v>
      </c>
      <c r="J36" s="322">
        <f t="shared" si="3"/>
        <v>4</v>
      </c>
      <c r="K36" s="53">
        <f t="shared" si="3"/>
        <v>4</v>
      </c>
      <c r="L36" s="301" t="s">
        <v>364</v>
      </c>
      <c r="M36" s="399" t="s">
        <v>171</v>
      </c>
      <c r="N36" s="400"/>
      <c r="O36" s="399" t="s">
        <v>171</v>
      </c>
      <c r="P36" s="400"/>
      <c r="Q36" s="301" t="s">
        <v>171</v>
      </c>
      <c r="R36" s="301" t="s">
        <v>171</v>
      </c>
      <c r="S36" s="301" t="s">
        <v>171</v>
      </c>
      <c r="T36" s="301" t="s">
        <v>171</v>
      </c>
      <c r="U36" s="301" t="s">
        <v>171</v>
      </c>
      <c r="V36" s="301" t="s">
        <v>171</v>
      </c>
      <c r="W36" s="301" t="s">
        <v>171</v>
      </c>
      <c r="X36" s="301" t="s">
        <v>171</v>
      </c>
      <c r="Y36" s="301" t="s">
        <v>171</v>
      </c>
      <c r="Z36" s="301" t="s">
        <v>171</v>
      </c>
      <c r="AA36" s="301" t="s">
        <v>171</v>
      </c>
      <c r="AB36" s="301" t="s">
        <v>171</v>
      </c>
      <c r="AC36" s="301" t="s">
        <v>171</v>
      </c>
      <c r="AD36" s="301" t="s">
        <v>171</v>
      </c>
      <c r="AE36" s="301" t="s">
        <v>171</v>
      </c>
      <c r="AF36" s="301" t="s">
        <v>171</v>
      </c>
      <c r="AG36" s="301" t="s">
        <v>171</v>
      </c>
      <c r="AH36" s="301" t="s">
        <v>171</v>
      </c>
      <c r="AI36" s="301" t="s">
        <v>171</v>
      </c>
      <c r="AJ36" s="301" t="s">
        <v>171</v>
      </c>
      <c r="AK36" s="301" t="s">
        <v>171</v>
      </c>
      <c r="AL36" s="301" t="s">
        <v>171</v>
      </c>
      <c r="AM36" s="301" t="s">
        <v>171</v>
      </c>
      <c r="AN36" s="301" t="s">
        <v>171</v>
      </c>
      <c r="AO36" s="301" t="s">
        <v>171</v>
      </c>
      <c r="AP36" s="301" t="s">
        <v>171</v>
      </c>
      <c r="AQ36" s="301" t="s">
        <v>171</v>
      </c>
      <c r="AR36" s="301" t="s">
        <v>171</v>
      </c>
      <c r="AS36" s="301" t="s">
        <v>171</v>
      </c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</row>
    <row r="37" spans="1:56" ht="15.75" thickBot="1" x14ac:dyDescent="0.3">
      <c r="A37" s="75"/>
      <c r="B37" s="295"/>
      <c r="C37" s="303" t="s">
        <v>173</v>
      </c>
      <c r="D37" s="393">
        <f>D36+E36</f>
        <v>29</v>
      </c>
      <c r="E37" s="394"/>
      <c r="F37" s="393">
        <f>F36+G36</f>
        <v>0</v>
      </c>
      <c r="G37" s="394"/>
      <c r="H37" s="393">
        <f>H36+I36</f>
        <v>57</v>
      </c>
      <c r="I37" s="394"/>
      <c r="J37" s="393">
        <f>J36+K36</f>
        <v>8</v>
      </c>
      <c r="K37" s="394"/>
      <c r="L37" s="305" t="s">
        <v>364</v>
      </c>
      <c r="M37" s="409" t="s">
        <v>171</v>
      </c>
      <c r="N37" s="410"/>
      <c r="O37" s="409" t="s">
        <v>171</v>
      </c>
      <c r="P37" s="410"/>
      <c r="Q37" s="305" t="s">
        <v>171</v>
      </c>
      <c r="R37" s="305" t="s">
        <v>171</v>
      </c>
      <c r="S37" s="305" t="s">
        <v>171</v>
      </c>
      <c r="T37" s="305" t="s">
        <v>171</v>
      </c>
      <c r="U37" s="305" t="s">
        <v>171</v>
      </c>
      <c r="V37" s="305" t="s">
        <v>171</v>
      </c>
      <c r="W37" s="305" t="s">
        <v>171</v>
      </c>
      <c r="X37" s="305" t="s">
        <v>171</v>
      </c>
      <c r="Y37" s="305" t="s">
        <v>171</v>
      </c>
      <c r="Z37" s="305" t="s">
        <v>171</v>
      </c>
      <c r="AA37" s="305" t="s">
        <v>171</v>
      </c>
      <c r="AB37" s="305" t="s">
        <v>171</v>
      </c>
      <c r="AC37" s="305" t="s">
        <v>171</v>
      </c>
      <c r="AD37" s="305" t="s">
        <v>171</v>
      </c>
      <c r="AE37" s="305" t="s">
        <v>171</v>
      </c>
      <c r="AF37" s="305" t="s">
        <v>171</v>
      </c>
      <c r="AG37" s="305" t="s">
        <v>171</v>
      </c>
      <c r="AH37" s="305" t="s">
        <v>171</v>
      </c>
      <c r="AI37" s="305" t="s">
        <v>171</v>
      </c>
      <c r="AJ37" s="305" t="s">
        <v>171</v>
      </c>
      <c r="AK37" s="305" t="s">
        <v>171</v>
      </c>
      <c r="AL37" s="305" t="s">
        <v>171</v>
      </c>
      <c r="AM37" s="305" t="s">
        <v>171</v>
      </c>
      <c r="AN37" s="305" t="s">
        <v>171</v>
      </c>
      <c r="AO37" s="305" t="s">
        <v>171</v>
      </c>
      <c r="AP37" s="305" t="s">
        <v>171</v>
      </c>
      <c r="AQ37" s="305" t="s">
        <v>171</v>
      </c>
      <c r="AR37" s="305" t="s">
        <v>171</v>
      </c>
      <c r="AS37" s="305" t="s">
        <v>171</v>
      </c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</row>
    <row r="38" spans="1:56" x14ac:dyDescent="0.25">
      <c r="A38" s="75"/>
      <c r="B38" s="75"/>
      <c r="C38" s="7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</row>
    <row r="39" spans="1:56" x14ac:dyDescent="0.25">
      <c r="A39" s="75"/>
      <c r="B39" s="75"/>
      <c r="C39" s="7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</row>
  </sheetData>
  <mergeCells count="54">
    <mergeCell ref="AR2:AR3"/>
    <mergeCell ref="AS2:AS3"/>
    <mergeCell ref="AL2:AL3"/>
    <mergeCell ref="AM2:AM3"/>
    <mergeCell ref="AN2:AN3"/>
    <mergeCell ref="AO2:AO3"/>
    <mergeCell ref="AP2:AP3"/>
    <mergeCell ref="AQ2:AQ3"/>
    <mergeCell ref="AE2:AE3"/>
    <mergeCell ref="AF2:AF3"/>
    <mergeCell ref="AG2:AG3"/>
    <mergeCell ref="AH2:AH3"/>
    <mergeCell ref="AJ2:AJ3"/>
    <mergeCell ref="AK2:AK3"/>
    <mergeCell ref="O35:P35"/>
    <mergeCell ref="M36:N36"/>
    <mergeCell ref="O36:P36"/>
    <mergeCell ref="D37:E37"/>
    <mergeCell ref="F37:G37"/>
    <mergeCell ref="H37:I37"/>
    <mergeCell ref="J37:K37"/>
    <mergeCell ref="M37:N37"/>
    <mergeCell ref="O37:P37"/>
    <mergeCell ref="AA2:AA3"/>
    <mergeCell ref="AB2:AB3"/>
    <mergeCell ref="AC2:AC3"/>
    <mergeCell ref="AD2:AD3"/>
    <mergeCell ref="AI2:AI3"/>
    <mergeCell ref="D35:E35"/>
    <mergeCell ref="F35:G35"/>
    <mergeCell ref="H35:I35"/>
    <mergeCell ref="J35:K35"/>
    <mergeCell ref="M35:N35"/>
    <mergeCell ref="V2:V3"/>
    <mergeCell ref="W2:W3"/>
    <mergeCell ref="X2:X3"/>
    <mergeCell ref="Y2:Y3"/>
    <mergeCell ref="Z2:Z3"/>
    <mergeCell ref="O2:P2"/>
    <mergeCell ref="Q2:Q3"/>
    <mergeCell ref="R2:R3"/>
    <mergeCell ref="S2:S3"/>
    <mergeCell ref="T2:T3"/>
    <mergeCell ref="U2:U3"/>
    <mergeCell ref="A1:P1"/>
    <mergeCell ref="A2:A3"/>
    <mergeCell ref="B2:B3"/>
    <mergeCell ref="C2:C3"/>
    <mergeCell ref="D2:E2"/>
    <mergeCell ref="F2:G2"/>
    <mergeCell ref="H2:I2"/>
    <mergeCell ref="J2:K2"/>
    <mergeCell ref="L2:L3"/>
    <mergeCell ref="M2:N2"/>
  </mergeCells>
  <pageMargins left="0.7" right="0.7" top="0.75" bottom="0.75" header="0.3" footer="0.3"/>
  <pageSetup orientation="portrait" r:id="rId1"/>
  <ignoredErrors>
    <ignoredError sqref="AI23:AI34 AI4:AI12 AI18:AI21 AI15:AI16 D36:E36" formulaRange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35"/>
  <sheetViews>
    <sheetView zoomScaleNormal="100" workbookViewId="0">
      <pane xSplit="10" ySplit="2" topLeftCell="K9" activePane="bottomRight" state="frozen"/>
      <selection pane="topRight" activeCell="P1" sqref="P1"/>
      <selection pane="bottomLeft" activeCell="A4" sqref="A4"/>
      <selection pane="bottomRight" activeCell="H30" sqref="H30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4" width="7.28515625" style="1" customWidth="1"/>
    <col min="5" max="5" width="12.28515625" style="1" bestFit="1" customWidth="1"/>
    <col min="6" max="6" width="11.140625" style="1" bestFit="1" customWidth="1"/>
    <col min="7" max="7" width="7.5703125" style="1" customWidth="1"/>
    <col min="8" max="8" width="6.7109375" style="1" customWidth="1"/>
    <col min="9" max="9" width="9.5703125" style="1" bestFit="1" customWidth="1"/>
    <col min="10" max="10" width="9.85546875" style="1" bestFit="1" customWidth="1"/>
    <col min="11" max="12" width="17.28515625" style="1" customWidth="1"/>
    <col min="13" max="13" width="19" style="1" customWidth="1"/>
    <col min="14" max="14" width="16.42578125" style="1" customWidth="1"/>
    <col min="15" max="15" width="15.7109375" style="1" customWidth="1"/>
    <col min="16" max="16" width="14.85546875" style="1" customWidth="1"/>
    <col min="17" max="17" width="18.5703125" style="1" customWidth="1"/>
    <col min="18" max="18" width="19.85546875" style="1" customWidth="1"/>
    <col min="19" max="19" width="16.7109375" style="1" customWidth="1"/>
    <col min="20" max="20" width="18.7109375" style="1" customWidth="1"/>
    <col min="21" max="21" width="18.42578125" style="1" customWidth="1"/>
    <col min="22" max="23" width="16.5703125" style="1" customWidth="1"/>
    <col min="24" max="24" width="16.28515625" customWidth="1"/>
    <col min="25" max="25" width="15.42578125" customWidth="1"/>
    <col min="26" max="26" width="18.42578125" customWidth="1"/>
    <col min="27" max="27" width="15.85546875" customWidth="1"/>
    <col min="28" max="28" width="18.85546875" customWidth="1"/>
    <col min="29" max="34" width="16.85546875" customWidth="1"/>
    <col min="35" max="35" width="16.140625" customWidth="1"/>
    <col min="36" max="36" width="19" customWidth="1"/>
    <col min="37" max="37" width="20.140625" customWidth="1"/>
    <col min="38" max="38" width="16.85546875" customWidth="1"/>
    <col min="39" max="39" width="19.28515625" customWidth="1"/>
    <col min="40" max="44" width="16.85546875" customWidth="1"/>
    <col min="45" max="45" width="19" customWidth="1"/>
    <col min="46" max="46" width="16.85546875" customWidth="1"/>
    <col min="47" max="47" width="19.140625" customWidth="1"/>
    <col min="48" max="48" width="16.85546875" customWidth="1"/>
    <col min="49" max="49" width="13.5703125" customWidth="1"/>
  </cols>
  <sheetData>
    <row r="1" spans="1:49" s="1" customFormat="1" ht="45.75" customHeight="1" thickBot="1" x14ac:dyDescent="0.3">
      <c r="A1" s="382" t="s">
        <v>36</v>
      </c>
      <c r="B1" s="383"/>
      <c r="C1" s="383"/>
      <c r="D1" s="383"/>
      <c r="E1" s="383"/>
      <c r="F1" s="383"/>
      <c r="G1" s="383"/>
      <c r="H1" s="383"/>
      <c r="I1" s="383"/>
      <c r="J1" s="383"/>
      <c r="K1" s="12" t="s">
        <v>813</v>
      </c>
      <c r="L1" s="12" t="s">
        <v>814</v>
      </c>
      <c r="M1" s="12" t="s">
        <v>815</v>
      </c>
      <c r="N1" s="12" t="s">
        <v>197</v>
      </c>
      <c r="O1" s="12" t="s">
        <v>816</v>
      </c>
      <c r="P1" s="12" t="s">
        <v>817</v>
      </c>
      <c r="Q1" s="12" t="s">
        <v>818</v>
      </c>
      <c r="R1" s="12" t="s">
        <v>819</v>
      </c>
      <c r="S1" s="12" t="s">
        <v>908</v>
      </c>
      <c r="T1" s="12" t="s">
        <v>820</v>
      </c>
      <c r="U1" s="12" t="s">
        <v>913</v>
      </c>
      <c r="V1" s="12" t="s">
        <v>821</v>
      </c>
      <c r="W1" s="12" t="s">
        <v>822</v>
      </c>
      <c r="X1" s="12" t="s">
        <v>823</v>
      </c>
      <c r="Y1" s="12" t="s">
        <v>824</v>
      </c>
      <c r="Z1" s="12" t="s">
        <v>825</v>
      </c>
      <c r="AA1" s="12" t="s">
        <v>826</v>
      </c>
      <c r="AB1" s="12" t="s">
        <v>827</v>
      </c>
      <c r="AC1" s="12" t="s">
        <v>828</v>
      </c>
      <c r="AD1" s="12" t="s">
        <v>830</v>
      </c>
      <c r="AE1" s="12" t="s">
        <v>831</v>
      </c>
      <c r="AF1" s="12" t="s">
        <v>832</v>
      </c>
      <c r="AG1" s="12" t="s">
        <v>829</v>
      </c>
      <c r="AH1" s="12" t="s">
        <v>833</v>
      </c>
      <c r="AI1" s="12" t="s">
        <v>834</v>
      </c>
      <c r="AJ1" s="12" t="s">
        <v>835</v>
      </c>
      <c r="AK1" s="12" t="s">
        <v>914</v>
      </c>
      <c r="AL1" s="12" t="s">
        <v>915</v>
      </c>
      <c r="AM1" s="12" t="s">
        <v>916</v>
      </c>
      <c r="AN1" s="12" t="s">
        <v>836</v>
      </c>
      <c r="AO1" s="12" t="s">
        <v>837</v>
      </c>
      <c r="AP1" s="12" t="s">
        <v>838</v>
      </c>
      <c r="AQ1" s="12" t="s">
        <v>840</v>
      </c>
      <c r="AR1" s="12" t="s">
        <v>841</v>
      </c>
      <c r="AS1" s="12" t="s">
        <v>842</v>
      </c>
      <c r="AT1" s="12" t="s">
        <v>843</v>
      </c>
      <c r="AU1" s="12" t="s">
        <v>839</v>
      </c>
      <c r="AV1" s="12" t="s">
        <v>844</v>
      </c>
      <c r="AW1" s="12" t="s">
        <v>810</v>
      </c>
    </row>
    <row r="2" spans="1:49" s="1" customFormat="1" ht="30" customHeight="1" thickBot="1" x14ac:dyDescent="0.3">
      <c r="A2" s="13" t="s">
        <v>137</v>
      </c>
      <c r="B2" s="13" t="s">
        <v>26</v>
      </c>
      <c r="C2" s="13" t="s">
        <v>25</v>
      </c>
      <c r="D2" s="54" t="s">
        <v>27</v>
      </c>
      <c r="E2" s="54" t="s">
        <v>28</v>
      </c>
      <c r="F2" s="54" t="s">
        <v>32</v>
      </c>
      <c r="G2" s="54" t="s">
        <v>33</v>
      </c>
      <c r="H2" s="13" t="s">
        <v>363</v>
      </c>
      <c r="I2" s="54" t="s">
        <v>29</v>
      </c>
      <c r="J2" s="54" t="s">
        <v>30</v>
      </c>
      <c r="K2" s="13" t="s">
        <v>41</v>
      </c>
      <c r="L2" s="13" t="s">
        <v>41</v>
      </c>
      <c r="M2" s="13" t="s">
        <v>41</v>
      </c>
      <c r="N2" s="13" t="s">
        <v>41</v>
      </c>
      <c r="O2" s="13" t="s">
        <v>41</v>
      </c>
      <c r="P2" s="13" t="s">
        <v>41</v>
      </c>
      <c r="Q2" s="13" t="s">
        <v>41</v>
      </c>
      <c r="R2" s="13" t="s">
        <v>41</v>
      </c>
      <c r="S2" s="13" t="s">
        <v>41</v>
      </c>
      <c r="T2" s="13" t="s">
        <v>41</v>
      </c>
      <c r="U2" s="13" t="s">
        <v>41</v>
      </c>
      <c r="V2" s="13" t="s">
        <v>41</v>
      </c>
      <c r="W2" s="13" t="s">
        <v>41</v>
      </c>
      <c r="X2" s="13" t="s">
        <v>41</v>
      </c>
      <c r="Y2" s="13" t="s">
        <v>41</v>
      </c>
      <c r="Z2" s="13" t="s">
        <v>41</v>
      </c>
      <c r="AA2" s="13" t="s">
        <v>41</v>
      </c>
      <c r="AB2" s="13" t="s">
        <v>41</v>
      </c>
      <c r="AC2" s="13" t="s">
        <v>41</v>
      </c>
      <c r="AD2" s="13" t="s">
        <v>41</v>
      </c>
      <c r="AE2" s="13" t="s">
        <v>41</v>
      </c>
      <c r="AF2" s="13" t="s">
        <v>41</v>
      </c>
      <c r="AG2" s="13" t="s">
        <v>41</v>
      </c>
      <c r="AH2" s="13" t="s">
        <v>41</v>
      </c>
      <c r="AI2" s="13" t="s">
        <v>41</v>
      </c>
      <c r="AJ2" s="13" t="s">
        <v>41</v>
      </c>
      <c r="AK2" s="13" t="s">
        <v>41</v>
      </c>
      <c r="AL2" s="13" t="s">
        <v>41</v>
      </c>
      <c r="AM2" s="13" t="s">
        <v>41</v>
      </c>
      <c r="AN2" s="13" t="s">
        <v>41</v>
      </c>
      <c r="AO2" s="13" t="s">
        <v>41</v>
      </c>
      <c r="AP2" s="13" t="s">
        <v>41</v>
      </c>
      <c r="AQ2" s="13" t="s">
        <v>41</v>
      </c>
      <c r="AR2" s="13" t="s">
        <v>41</v>
      </c>
      <c r="AS2" s="13" t="s">
        <v>41</v>
      </c>
      <c r="AT2" s="13" t="s">
        <v>41</v>
      </c>
      <c r="AU2" s="13" t="s">
        <v>41</v>
      </c>
      <c r="AV2" s="13" t="s">
        <v>41</v>
      </c>
      <c r="AW2" s="13" t="s">
        <v>41</v>
      </c>
    </row>
    <row r="3" spans="1:49" s="1" customFormat="1" ht="15" customHeight="1" x14ac:dyDescent="0.25">
      <c r="A3" s="148" t="s">
        <v>138</v>
      </c>
      <c r="B3" s="111" t="s">
        <v>758</v>
      </c>
      <c r="C3" s="108" t="s">
        <v>787</v>
      </c>
      <c r="D3" s="190">
        <v>-21</v>
      </c>
      <c r="E3" s="190"/>
      <c r="F3" s="190">
        <v>2</v>
      </c>
      <c r="G3" s="190"/>
      <c r="H3" s="25">
        <v>16</v>
      </c>
      <c r="I3" s="191">
        <v>16</v>
      </c>
      <c r="J3" s="22">
        <v>14</v>
      </c>
      <c r="K3" s="106" t="s">
        <v>34</v>
      </c>
      <c r="L3" s="109" t="s">
        <v>34</v>
      </c>
      <c r="M3" s="186" t="s">
        <v>34</v>
      </c>
      <c r="N3" s="150">
        <v>0</v>
      </c>
      <c r="O3" s="199">
        <v>0</v>
      </c>
      <c r="P3" s="114" t="s">
        <v>34</v>
      </c>
      <c r="Q3" s="199">
        <v>0</v>
      </c>
      <c r="R3" s="199">
        <v>0</v>
      </c>
      <c r="S3" s="109" t="s">
        <v>34</v>
      </c>
      <c r="T3" s="199">
        <v>0</v>
      </c>
      <c r="U3" s="199">
        <v>0</v>
      </c>
      <c r="V3" s="114" t="s">
        <v>34</v>
      </c>
      <c r="W3" s="192">
        <v>90</v>
      </c>
      <c r="X3" s="192">
        <v>90</v>
      </c>
      <c r="Y3" s="192">
        <v>90</v>
      </c>
      <c r="Z3" s="192">
        <v>90</v>
      </c>
      <c r="AA3" s="9">
        <v>90</v>
      </c>
      <c r="AB3" s="18">
        <v>90</v>
      </c>
      <c r="AC3" s="3">
        <v>90</v>
      </c>
      <c r="AD3" s="199">
        <v>0</v>
      </c>
      <c r="AE3" s="199">
        <v>0</v>
      </c>
      <c r="AF3" s="9" t="s">
        <v>34</v>
      </c>
      <c r="AG3" s="9" t="s">
        <v>34</v>
      </c>
      <c r="AH3" s="199">
        <v>0</v>
      </c>
      <c r="AI3" s="9">
        <v>90</v>
      </c>
      <c r="AJ3" s="9">
        <v>90</v>
      </c>
      <c r="AK3" s="9">
        <v>90</v>
      </c>
      <c r="AL3" s="9">
        <v>90</v>
      </c>
      <c r="AM3" s="9">
        <v>90</v>
      </c>
      <c r="AN3" s="9">
        <v>90</v>
      </c>
      <c r="AO3" s="9">
        <v>90</v>
      </c>
      <c r="AP3" s="9">
        <v>90</v>
      </c>
      <c r="AQ3" s="9">
        <v>90</v>
      </c>
      <c r="AR3" s="199">
        <v>0</v>
      </c>
      <c r="AS3" s="199">
        <v>0</v>
      </c>
      <c r="AT3" s="199">
        <v>0</v>
      </c>
      <c r="AU3" s="199">
        <v>0</v>
      </c>
      <c r="AV3" s="125">
        <v>0</v>
      </c>
      <c r="AW3" s="52">
        <f>SUM(K3:AV3)</f>
        <v>1440</v>
      </c>
    </row>
    <row r="4" spans="1:49" s="1" customFormat="1" x14ac:dyDescent="0.25">
      <c r="A4" s="27" t="s">
        <v>138</v>
      </c>
      <c r="B4" s="145" t="s">
        <v>522</v>
      </c>
      <c r="C4" s="146" t="s">
        <v>584</v>
      </c>
      <c r="D4" s="115">
        <v>-7</v>
      </c>
      <c r="E4" s="115"/>
      <c r="F4" s="115"/>
      <c r="G4" s="115"/>
      <c r="H4" s="72">
        <v>5</v>
      </c>
      <c r="I4" s="127">
        <v>5</v>
      </c>
      <c r="J4" s="72">
        <v>22</v>
      </c>
      <c r="K4" s="196">
        <v>0</v>
      </c>
      <c r="L4" s="198">
        <v>0</v>
      </c>
      <c r="M4" s="195">
        <v>0</v>
      </c>
      <c r="N4" s="147" t="s">
        <v>34</v>
      </c>
      <c r="O4" s="51" t="s">
        <v>34</v>
      </c>
      <c r="P4" s="110">
        <v>0</v>
      </c>
      <c r="Q4" s="2" t="s">
        <v>34</v>
      </c>
      <c r="R4" s="147" t="s">
        <v>34</v>
      </c>
      <c r="S4" s="110">
        <v>0</v>
      </c>
      <c r="T4" s="147" t="s">
        <v>34</v>
      </c>
      <c r="U4" s="147" t="s">
        <v>34</v>
      </c>
      <c r="V4" s="110">
        <v>0</v>
      </c>
      <c r="W4" s="147" t="s">
        <v>34</v>
      </c>
      <c r="X4" s="110">
        <v>0</v>
      </c>
      <c r="Y4" s="110">
        <v>0</v>
      </c>
      <c r="Z4" s="110">
        <v>0</v>
      </c>
      <c r="AA4" s="110">
        <v>0</v>
      </c>
      <c r="AB4" s="2" t="s">
        <v>34</v>
      </c>
      <c r="AC4" s="120">
        <v>0</v>
      </c>
      <c r="AD4" s="2" t="s">
        <v>34</v>
      </c>
      <c r="AE4" s="2" t="s">
        <v>34</v>
      </c>
      <c r="AF4" s="110">
        <v>0</v>
      </c>
      <c r="AG4" s="110">
        <v>0</v>
      </c>
      <c r="AH4" s="2" t="s">
        <v>34</v>
      </c>
      <c r="AI4" s="110">
        <v>0</v>
      </c>
      <c r="AJ4" s="110">
        <v>0</v>
      </c>
      <c r="AK4" s="110">
        <v>0</v>
      </c>
      <c r="AL4" s="110">
        <v>0</v>
      </c>
      <c r="AM4" s="110">
        <v>0</v>
      </c>
      <c r="AN4" s="110">
        <v>0</v>
      </c>
      <c r="AO4" s="110">
        <v>0</v>
      </c>
      <c r="AP4" s="110">
        <v>0</v>
      </c>
      <c r="AQ4" s="110">
        <v>0</v>
      </c>
      <c r="AR4" s="2">
        <v>90</v>
      </c>
      <c r="AS4" s="2">
        <v>90</v>
      </c>
      <c r="AT4" s="2">
        <v>90</v>
      </c>
      <c r="AU4" s="2">
        <v>90</v>
      </c>
      <c r="AV4" s="2">
        <v>90</v>
      </c>
      <c r="AW4" s="39">
        <f>SUM(K4:AV4)</f>
        <v>450</v>
      </c>
    </row>
    <row r="5" spans="1:49" x14ac:dyDescent="0.25">
      <c r="A5" s="27" t="s">
        <v>138</v>
      </c>
      <c r="B5" s="5" t="s">
        <v>603</v>
      </c>
      <c r="C5" s="10" t="s">
        <v>511</v>
      </c>
      <c r="D5" s="7">
        <v>-25</v>
      </c>
      <c r="E5" s="32"/>
      <c r="F5" s="32">
        <v>2</v>
      </c>
      <c r="G5" s="32"/>
      <c r="H5" s="39">
        <v>17</v>
      </c>
      <c r="I5" s="158">
        <v>17</v>
      </c>
      <c r="J5" s="39">
        <v>2</v>
      </c>
      <c r="K5" s="32">
        <v>90</v>
      </c>
      <c r="L5" s="2">
        <v>90</v>
      </c>
      <c r="M5" s="16">
        <v>90</v>
      </c>
      <c r="N5" s="2">
        <v>90</v>
      </c>
      <c r="O5" s="16">
        <v>90</v>
      </c>
      <c r="P5" s="2">
        <v>90</v>
      </c>
      <c r="Q5" s="16">
        <v>90</v>
      </c>
      <c r="R5" s="2">
        <v>90</v>
      </c>
      <c r="S5" s="2">
        <v>90</v>
      </c>
      <c r="T5" s="2">
        <v>90</v>
      </c>
      <c r="U5" s="2">
        <v>90</v>
      </c>
      <c r="V5" s="2">
        <v>90</v>
      </c>
      <c r="W5" s="110">
        <v>0</v>
      </c>
      <c r="X5" s="16" t="s">
        <v>34</v>
      </c>
      <c r="Y5" s="15" t="s">
        <v>34</v>
      </c>
      <c r="Z5" s="2" t="s">
        <v>34</v>
      </c>
      <c r="AA5" s="7" t="s">
        <v>34</v>
      </c>
      <c r="AB5" s="110">
        <v>0</v>
      </c>
      <c r="AC5" s="7" t="s">
        <v>34</v>
      </c>
      <c r="AD5" s="2">
        <v>90</v>
      </c>
      <c r="AE5" s="2">
        <v>90</v>
      </c>
      <c r="AF5" s="2">
        <v>90</v>
      </c>
      <c r="AG5" s="2">
        <v>90</v>
      </c>
      <c r="AH5" s="2">
        <v>90</v>
      </c>
      <c r="AI5" s="2" t="s">
        <v>34</v>
      </c>
      <c r="AJ5" s="2" t="s">
        <v>34</v>
      </c>
      <c r="AK5" s="2" t="s">
        <v>34</v>
      </c>
      <c r="AL5" s="2" t="s">
        <v>34</v>
      </c>
      <c r="AM5" s="2" t="s">
        <v>34</v>
      </c>
      <c r="AN5" s="2" t="s">
        <v>34</v>
      </c>
      <c r="AO5" s="2" t="s">
        <v>34</v>
      </c>
      <c r="AP5" s="2" t="s">
        <v>34</v>
      </c>
      <c r="AQ5" s="2" t="s">
        <v>34</v>
      </c>
      <c r="AR5" s="2" t="s">
        <v>34</v>
      </c>
      <c r="AS5" s="2" t="s">
        <v>34</v>
      </c>
      <c r="AT5" s="2" t="s">
        <v>34</v>
      </c>
      <c r="AU5" s="2" t="s">
        <v>34</v>
      </c>
      <c r="AV5" s="2" t="s">
        <v>34</v>
      </c>
      <c r="AW5" s="39">
        <f t="shared" ref="AW5:AW32" si="0">SUM(K5:AV5)</f>
        <v>1530</v>
      </c>
    </row>
    <row r="6" spans="1:49" x14ac:dyDescent="0.25">
      <c r="A6" s="28" t="s">
        <v>141</v>
      </c>
      <c r="B6" s="5" t="s">
        <v>354</v>
      </c>
      <c r="C6" s="10" t="s">
        <v>12</v>
      </c>
      <c r="D6" s="7"/>
      <c r="E6" s="32"/>
      <c r="F6" s="32">
        <v>1</v>
      </c>
      <c r="G6" s="32">
        <v>1</v>
      </c>
      <c r="H6" s="39">
        <v>13</v>
      </c>
      <c r="I6" s="158">
        <v>11</v>
      </c>
      <c r="J6" s="39">
        <v>8</v>
      </c>
      <c r="K6" s="32" t="s">
        <v>34</v>
      </c>
      <c r="L6" s="2" t="s">
        <v>34</v>
      </c>
      <c r="M6" s="16" t="s">
        <v>34</v>
      </c>
      <c r="N6" s="2" t="s">
        <v>34</v>
      </c>
      <c r="O6" s="16" t="s">
        <v>34</v>
      </c>
      <c r="P6" s="2" t="s">
        <v>34</v>
      </c>
      <c r="Q6" s="16">
        <v>72</v>
      </c>
      <c r="R6" s="2">
        <v>90</v>
      </c>
      <c r="S6" s="7">
        <v>90</v>
      </c>
      <c r="T6" s="2">
        <v>66</v>
      </c>
      <c r="U6" s="2">
        <v>90</v>
      </c>
      <c r="V6" s="2">
        <v>60</v>
      </c>
      <c r="W6" s="2" t="s">
        <v>34</v>
      </c>
      <c r="X6" s="16" t="s">
        <v>34</v>
      </c>
      <c r="Y6" s="110">
        <v>0</v>
      </c>
      <c r="Z6" s="2">
        <v>80</v>
      </c>
      <c r="AA6" s="7">
        <v>90</v>
      </c>
      <c r="AB6" s="110">
        <v>0</v>
      </c>
      <c r="AC6" s="120">
        <v>37</v>
      </c>
      <c r="AD6" s="2" t="s">
        <v>34</v>
      </c>
      <c r="AE6" s="2" t="s">
        <v>34</v>
      </c>
      <c r="AF6" s="2" t="s">
        <v>34</v>
      </c>
      <c r="AG6" s="2" t="s">
        <v>34</v>
      </c>
      <c r="AH6" s="2">
        <v>90</v>
      </c>
      <c r="AI6" s="110">
        <v>8</v>
      </c>
      <c r="AJ6" s="110">
        <v>0</v>
      </c>
      <c r="AK6" s="2">
        <v>90</v>
      </c>
      <c r="AL6" s="2">
        <v>19</v>
      </c>
      <c r="AM6" s="2" t="s">
        <v>34</v>
      </c>
      <c r="AN6" s="2" t="s">
        <v>34</v>
      </c>
      <c r="AO6" s="2" t="s">
        <v>34</v>
      </c>
      <c r="AP6" s="2" t="s">
        <v>34</v>
      </c>
      <c r="AQ6" s="2" t="s">
        <v>34</v>
      </c>
      <c r="AR6" s="2" t="s">
        <v>34</v>
      </c>
      <c r="AS6" s="2" t="s">
        <v>34</v>
      </c>
      <c r="AT6" s="110">
        <v>0</v>
      </c>
      <c r="AU6" s="110">
        <v>0</v>
      </c>
      <c r="AV6" s="110">
        <v>0</v>
      </c>
      <c r="AW6" s="39">
        <f t="shared" si="0"/>
        <v>882</v>
      </c>
    </row>
    <row r="7" spans="1:49" x14ac:dyDescent="0.25">
      <c r="A7" s="28" t="s">
        <v>141</v>
      </c>
      <c r="B7" s="5" t="s">
        <v>661</v>
      </c>
      <c r="C7" s="10" t="s">
        <v>662</v>
      </c>
      <c r="D7" s="7"/>
      <c r="E7" s="32"/>
      <c r="F7" s="32">
        <v>2</v>
      </c>
      <c r="G7" s="32"/>
      <c r="H7" s="39">
        <v>17</v>
      </c>
      <c r="I7" s="158">
        <v>17</v>
      </c>
      <c r="J7" s="39">
        <v>0</v>
      </c>
      <c r="K7" s="32">
        <v>90</v>
      </c>
      <c r="L7" s="2" t="s">
        <v>34</v>
      </c>
      <c r="M7" s="16">
        <v>90</v>
      </c>
      <c r="N7" s="2">
        <v>90</v>
      </c>
      <c r="O7" s="16" t="s">
        <v>34</v>
      </c>
      <c r="P7" s="2">
        <v>90</v>
      </c>
      <c r="Q7" s="2">
        <v>90</v>
      </c>
      <c r="R7" s="2">
        <v>90</v>
      </c>
      <c r="S7" s="7">
        <v>90</v>
      </c>
      <c r="T7" s="2">
        <v>90</v>
      </c>
      <c r="U7" s="2">
        <v>90</v>
      </c>
      <c r="V7" s="2">
        <v>90</v>
      </c>
      <c r="W7" s="2">
        <v>90</v>
      </c>
      <c r="X7" s="2">
        <v>90</v>
      </c>
      <c r="Y7" s="2">
        <v>90</v>
      </c>
      <c r="Z7" s="2">
        <v>90</v>
      </c>
      <c r="AA7" s="2">
        <v>90</v>
      </c>
      <c r="AB7" s="16">
        <v>90</v>
      </c>
      <c r="AC7" s="15">
        <v>53</v>
      </c>
      <c r="AD7" s="2" t="s">
        <v>34</v>
      </c>
      <c r="AE7" s="2" t="s">
        <v>34</v>
      </c>
      <c r="AF7" s="2" t="s">
        <v>34</v>
      </c>
      <c r="AG7" s="2" t="s">
        <v>34</v>
      </c>
      <c r="AH7" s="2" t="s">
        <v>34</v>
      </c>
      <c r="AI7" s="2" t="s">
        <v>34</v>
      </c>
      <c r="AJ7" s="2" t="s">
        <v>34</v>
      </c>
      <c r="AK7" s="2" t="s">
        <v>34</v>
      </c>
      <c r="AL7" s="2" t="s">
        <v>34</v>
      </c>
      <c r="AM7" s="2" t="s">
        <v>34</v>
      </c>
      <c r="AN7" s="2" t="s">
        <v>34</v>
      </c>
      <c r="AO7" s="2" t="s">
        <v>34</v>
      </c>
      <c r="AP7" s="2" t="s">
        <v>34</v>
      </c>
      <c r="AQ7" s="2" t="s">
        <v>34</v>
      </c>
      <c r="AR7" s="2" t="s">
        <v>34</v>
      </c>
      <c r="AS7" s="2" t="s">
        <v>34</v>
      </c>
      <c r="AT7" s="2" t="s">
        <v>34</v>
      </c>
      <c r="AU7" s="2" t="s">
        <v>34</v>
      </c>
      <c r="AV7" s="2" t="s">
        <v>34</v>
      </c>
      <c r="AW7" s="39">
        <f t="shared" si="0"/>
        <v>1493</v>
      </c>
    </row>
    <row r="8" spans="1:49" x14ac:dyDescent="0.25">
      <c r="A8" s="28" t="s">
        <v>141</v>
      </c>
      <c r="B8" s="5" t="s">
        <v>747</v>
      </c>
      <c r="C8" s="10" t="s">
        <v>504</v>
      </c>
      <c r="D8" s="7">
        <v>3</v>
      </c>
      <c r="E8" s="32"/>
      <c r="F8" s="32">
        <v>2</v>
      </c>
      <c r="G8" s="32">
        <v>2</v>
      </c>
      <c r="H8" s="39">
        <v>23</v>
      </c>
      <c r="I8" s="158">
        <v>20</v>
      </c>
      <c r="J8" s="39">
        <v>12</v>
      </c>
      <c r="K8" s="166">
        <v>0</v>
      </c>
      <c r="L8" s="198">
        <v>0</v>
      </c>
      <c r="M8" s="195">
        <v>0</v>
      </c>
      <c r="N8" s="198">
        <v>0</v>
      </c>
      <c r="O8" s="16">
        <v>67</v>
      </c>
      <c r="P8" s="2" t="s">
        <v>34</v>
      </c>
      <c r="Q8" s="110">
        <v>18</v>
      </c>
      <c r="R8" s="110">
        <v>0</v>
      </c>
      <c r="S8" s="110">
        <v>0</v>
      </c>
      <c r="T8" s="110">
        <v>0</v>
      </c>
      <c r="U8" s="110">
        <v>7</v>
      </c>
      <c r="V8" s="110">
        <v>37</v>
      </c>
      <c r="W8" s="2">
        <v>90</v>
      </c>
      <c r="X8" s="2">
        <v>90</v>
      </c>
      <c r="Y8" s="15">
        <v>90</v>
      </c>
      <c r="Z8" s="2">
        <v>90</v>
      </c>
      <c r="AA8" s="2">
        <v>90</v>
      </c>
      <c r="AB8" s="16">
        <v>90</v>
      </c>
      <c r="AC8" s="15">
        <v>89</v>
      </c>
      <c r="AD8" s="2" t="s">
        <v>34</v>
      </c>
      <c r="AE8" s="2" t="s">
        <v>34</v>
      </c>
      <c r="AF8" s="2" t="s">
        <v>34</v>
      </c>
      <c r="AG8" s="2">
        <v>90</v>
      </c>
      <c r="AH8" s="2">
        <v>90</v>
      </c>
      <c r="AI8" s="2">
        <v>84</v>
      </c>
      <c r="AJ8" s="2" t="s">
        <v>34</v>
      </c>
      <c r="AK8" s="2" t="s">
        <v>34</v>
      </c>
      <c r="AL8" s="2">
        <v>90</v>
      </c>
      <c r="AM8" s="2">
        <v>90</v>
      </c>
      <c r="AN8" s="110">
        <v>0</v>
      </c>
      <c r="AO8" s="110">
        <v>0</v>
      </c>
      <c r="AP8" s="2">
        <v>90</v>
      </c>
      <c r="AQ8" s="2">
        <v>90</v>
      </c>
      <c r="AR8" s="2">
        <v>90</v>
      </c>
      <c r="AS8" s="2">
        <v>90</v>
      </c>
      <c r="AT8" s="2">
        <v>90</v>
      </c>
      <c r="AU8" s="2">
        <v>90</v>
      </c>
      <c r="AV8" s="2">
        <v>90</v>
      </c>
      <c r="AW8" s="39">
        <f t="shared" si="0"/>
        <v>1832</v>
      </c>
    </row>
    <row r="9" spans="1:49" x14ac:dyDescent="0.25">
      <c r="A9" s="28" t="s">
        <v>141</v>
      </c>
      <c r="B9" s="5" t="s">
        <v>911</v>
      </c>
      <c r="C9" s="10" t="s">
        <v>1</v>
      </c>
      <c r="D9" s="7"/>
      <c r="E9" s="32"/>
      <c r="F9" s="32"/>
      <c r="G9" s="32"/>
      <c r="H9" s="39">
        <v>0</v>
      </c>
      <c r="I9" s="158">
        <v>0</v>
      </c>
      <c r="J9" s="39">
        <v>4</v>
      </c>
      <c r="K9" s="32" t="s">
        <v>34</v>
      </c>
      <c r="L9" s="2" t="s">
        <v>34</v>
      </c>
      <c r="M9" s="16" t="s">
        <v>34</v>
      </c>
      <c r="N9" s="2" t="s">
        <v>34</v>
      </c>
      <c r="O9" s="16" t="s">
        <v>34</v>
      </c>
      <c r="P9" s="2" t="s">
        <v>34</v>
      </c>
      <c r="Q9" s="16" t="s">
        <v>34</v>
      </c>
      <c r="R9" s="2" t="s">
        <v>34</v>
      </c>
      <c r="S9" s="7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16" t="s">
        <v>34</v>
      </c>
      <c r="Y9" s="15" t="s">
        <v>34</v>
      </c>
      <c r="Z9" s="2" t="s">
        <v>34</v>
      </c>
      <c r="AA9" s="7" t="s">
        <v>34</v>
      </c>
      <c r="AB9" s="16" t="s">
        <v>34</v>
      </c>
      <c r="AC9" s="15" t="s">
        <v>34</v>
      </c>
      <c r="AD9" s="2" t="s">
        <v>34</v>
      </c>
      <c r="AE9" s="2" t="s">
        <v>34</v>
      </c>
      <c r="AF9" s="2" t="s">
        <v>34</v>
      </c>
      <c r="AG9" s="2" t="s">
        <v>34</v>
      </c>
      <c r="AH9" s="2" t="s">
        <v>34</v>
      </c>
      <c r="AI9" s="2" t="s">
        <v>34</v>
      </c>
      <c r="AJ9" s="2" t="s">
        <v>34</v>
      </c>
      <c r="AK9" s="2" t="s">
        <v>34</v>
      </c>
      <c r="AL9" s="2" t="s">
        <v>34</v>
      </c>
      <c r="AM9" s="110">
        <v>0</v>
      </c>
      <c r="AN9" s="110">
        <v>0</v>
      </c>
      <c r="AO9" s="2" t="s">
        <v>34</v>
      </c>
      <c r="AP9" s="2" t="s">
        <v>34</v>
      </c>
      <c r="AQ9" s="2" t="s">
        <v>34</v>
      </c>
      <c r="AR9" s="2" t="s">
        <v>34</v>
      </c>
      <c r="AS9" s="110">
        <v>0</v>
      </c>
      <c r="AT9" s="2" t="s">
        <v>34</v>
      </c>
      <c r="AU9" s="110">
        <v>0</v>
      </c>
      <c r="AV9" s="2" t="s">
        <v>34</v>
      </c>
      <c r="AW9" s="39">
        <f t="shared" si="0"/>
        <v>0</v>
      </c>
    </row>
    <row r="10" spans="1:49" x14ac:dyDescent="0.25">
      <c r="A10" s="28" t="s">
        <v>141</v>
      </c>
      <c r="B10" s="5" t="s">
        <v>905</v>
      </c>
      <c r="C10" s="10" t="s">
        <v>588</v>
      </c>
      <c r="D10" s="7"/>
      <c r="E10" s="32"/>
      <c r="F10" s="32">
        <v>1</v>
      </c>
      <c r="G10" s="32"/>
      <c r="H10" s="39">
        <v>7</v>
      </c>
      <c r="I10" s="158">
        <v>6</v>
      </c>
      <c r="J10" s="39">
        <v>6</v>
      </c>
      <c r="K10" s="32" t="s">
        <v>34</v>
      </c>
      <c r="L10" s="2" t="s">
        <v>34</v>
      </c>
      <c r="M10" s="16" t="s">
        <v>34</v>
      </c>
      <c r="N10" s="2" t="s">
        <v>34</v>
      </c>
      <c r="O10" s="16" t="s">
        <v>34</v>
      </c>
      <c r="P10" s="2" t="s">
        <v>34</v>
      </c>
      <c r="Q10" s="16" t="s">
        <v>34</v>
      </c>
      <c r="R10" s="2" t="s">
        <v>34</v>
      </c>
      <c r="S10" s="7" t="s">
        <v>34</v>
      </c>
      <c r="T10" s="2" t="s">
        <v>34</v>
      </c>
      <c r="U10" s="2" t="s">
        <v>34</v>
      </c>
      <c r="V10" s="2" t="s">
        <v>34</v>
      </c>
      <c r="W10" s="2" t="s">
        <v>34</v>
      </c>
      <c r="X10" s="16" t="s">
        <v>34</v>
      </c>
      <c r="Y10" s="15" t="s">
        <v>34</v>
      </c>
      <c r="Z10" s="2" t="s">
        <v>34</v>
      </c>
      <c r="AA10" s="7" t="s">
        <v>34</v>
      </c>
      <c r="AB10" s="16" t="s">
        <v>34</v>
      </c>
      <c r="AC10" s="15" t="s">
        <v>34</v>
      </c>
      <c r="AD10" s="2">
        <v>90</v>
      </c>
      <c r="AE10" s="2">
        <v>90</v>
      </c>
      <c r="AF10" s="2">
        <v>90</v>
      </c>
      <c r="AG10" s="2" t="s">
        <v>34</v>
      </c>
      <c r="AH10" s="110">
        <v>0</v>
      </c>
      <c r="AI10" s="110">
        <v>4</v>
      </c>
      <c r="AJ10" s="2">
        <v>90</v>
      </c>
      <c r="AK10" s="2">
        <v>90</v>
      </c>
      <c r="AL10" s="2" t="s">
        <v>34</v>
      </c>
      <c r="AM10" s="110">
        <v>0</v>
      </c>
      <c r="AN10" s="2">
        <v>90</v>
      </c>
      <c r="AO10" s="2" t="s">
        <v>34</v>
      </c>
      <c r="AP10" s="110">
        <v>0</v>
      </c>
      <c r="AQ10" s="2" t="s">
        <v>34</v>
      </c>
      <c r="AR10" s="2" t="s">
        <v>34</v>
      </c>
      <c r="AS10" s="2" t="s">
        <v>34</v>
      </c>
      <c r="AT10" s="110">
        <v>0</v>
      </c>
      <c r="AU10" s="2" t="s">
        <v>34</v>
      </c>
      <c r="AV10" s="110">
        <v>0</v>
      </c>
      <c r="AW10" s="39">
        <f t="shared" si="0"/>
        <v>544</v>
      </c>
    </row>
    <row r="11" spans="1:49" x14ac:dyDescent="0.25">
      <c r="A11" s="28" t="s">
        <v>141</v>
      </c>
      <c r="B11" s="5" t="s">
        <v>902</v>
      </c>
      <c r="C11" s="10" t="s">
        <v>1</v>
      </c>
      <c r="D11" s="7"/>
      <c r="E11" s="32"/>
      <c r="F11" s="32">
        <v>4</v>
      </c>
      <c r="G11" s="32">
        <v>1</v>
      </c>
      <c r="H11" s="39">
        <v>13</v>
      </c>
      <c r="I11" s="158">
        <v>13</v>
      </c>
      <c r="J11" s="39">
        <v>7</v>
      </c>
      <c r="K11" s="32" t="s">
        <v>34</v>
      </c>
      <c r="L11" s="2" t="s">
        <v>903</v>
      </c>
      <c r="M11" s="16" t="s">
        <v>34</v>
      </c>
      <c r="N11" s="2" t="s">
        <v>34</v>
      </c>
      <c r="O11" s="7">
        <v>90</v>
      </c>
      <c r="P11" s="110">
        <v>0</v>
      </c>
      <c r="Q11" s="16" t="s">
        <v>34</v>
      </c>
      <c r="R11" s="110">
        <v>0</v>
      </c>
      <c r="S11" s="7" t="s">
        <v>34</v>
      </c>
      <c r="T11" s="110">
        <v>0</v>
      </c>
      <c r="U11" s="2" t="s">
        <v>34</v>
      </c>
      <c r="V11" s="2" t="s">
        <v>34</v>
      </c>
      <c r="W11" s="110">
        <v>0</v>
      </c>
      <c r="X11" s="16" t="s">
        <v>34</v>
      </c>
      <c r="Y11" s="15" t="s">
        <v>34</v>
      </c>
      <c r="Z11" s="110">
        <v>0</v>
      </c>
      <c r="AA11" s="110">
        <v>0</v>
      </c>
      <c r="AB11" s="16" t="s">
        <v>34</v>
      </c>
      <c r="AC11" s="15" t="s">
        <v>34</v>
      </c>
      <c r="AD11" s="2">
        <v>90</v>
      </c>
      <c r="AE11" s="2">
        <v>62</v>
      </c>
      <c r="AF11" s="2">
        <v>79</v>
      </c>
      <c r="AG11" s="2" t="s">
        <v>34</v>
      </c>
      <c r="AH11" s="2">
        <v>86</v>
      </c>
      <c r="AI11" s="2">
        <v>90</v>
      </c>
      <c r="AJ11" s="2" t="s">
        <v>34</v>
      </c>
      <c r="AK11" s="2">
        <v>78</v>
      </c>
      <c r="AL11" s="2">
        <v>45</v>
      </c>
      <c r="AM11" s="2" t="s">
        <v>34</v>
      </c>
      <c r="AN11" s="2">
        <v>90</v>
      </c>
      <c r="AO11" s="2">
        <v>85</v>
      </c>
      <c r="AP11" s="2" t="s">
        <v>34</v>
      </c>
      <c r="AQ11" s="2" t="s">
        <v>34</v>
      </c>
      <c r="AR11" s="2">
        <v>90</v>
      </c>
      <c r="AS11" s="2" t="s">
        <v>34</v>
      </c>
      <c r="AT11" s="2">
        <v>45</v>
      </c>
      <c r="AU11" s="110">
        <v>0</v>
      </c>
      <c r="AV11" s="2" t="s">
        <v>34</v>
      </c>
      <c r="AW11" s="39">
        <f t="shared" si="0"/>
        <v>930</v>
      </c>
    </row>
    <row r="12" spans="1:49" x14ac:dyDescent="0.25">
      <c r="A12" s="28" t="s">
        <v>141</v>
      </c>
      <c r="B12" s="5" t="s">
        <v>895</v>
      </c>
      <c r="C12" s="10" t="s">
        <v>896</v>
      </c>
      <c r="D12" s="7">
        <v>1</v>
      </c>
      <c r="E12" s="32"/>
      <c r="F12" s="32">
        <v>4</v>
      </c>
      <c r="G12" s="32"/>
      <c r="H12" s="39">
        <v>24</v>
      </c>
      <c r="I12" s="158">
        <v>23</v>
      </c>
      <c r="J12" s="39">
        <v>2</v>
      </c>
      <c r="K12" s="32">
        <v>90</v>
      </c>
      <c r="L12" s="2">
        <v>90</v>
      </c>
      <c r="M12" s="16">
        <v>90</v>
      </c>
      <c r="N12" s="2">
        <v>90</v>
      </c>
      <c r="O12" s="16">
        <v>90</v>
      </c>
      <c r="P12" s="2">
        <v>70</v>
      </c>
      <c r="Q12" s="16" t="s">
        <v>34</v>
      </c>
      <c r="R12" s="2" t="s">
        <v>34</v>
      </c>
      <c r="S12" s="7" t="s">
        <v>34</v>
      </c>
      <c r="T12" s="2" t="s">
        <v>34</v>
      </c>
      <c r="U12" s="2" t="s">
        <v>34</v>
      </c>
      <c r="V12" s="110">
        <v>0</v>
      </c>
      <c r="W12" s="2">
        <v>90</v>
      </c>
      <c r="X12" s="16">
        <v>90</v>
      </c>
      <c r="Y12" s="15">
        <v>90</v>
      </c>
      <c r="Z12" s="2">
        <v>90</v>
      </c>
      <c r="AA12" s="7">
        <v>90</v>
      </c>
      <c r="AB12" s="16">
        <v>90</v>
      </c>
      <c r="AC12" s="15">
        <v>90</v>
      </c>
      <c r="AD12" s="2">
        <v>90</v>
      </c>
      <c r="AE12" s="2">
        <v>62</v>
      </c>
      <c r="AF12" s="2">
        <v>90</v>
      </c>
      <c r="AG12" s="2">
        <v>45</v>
      </c>
      <c r="AH12" s="2" t="s">
        <v>34</v>
      </c>
      <c r="AI12" s="2" t="s">
        <v>34</v>
      </c>
      <c r="AJ12" s="2" t="s">
        <v>34</v>
      </c>
      <c r="AK12" s="2" t="s">
        <v>34</v>
      </c>
      <c r="AL12" s="2" t="s">
        <v>34</v>
      </c>
      <c r="AM12" s="2" t="s">
        <v>34</v>
      </c>
      <c r="AN12" s="2">
        <v>90</v>
      </c>
      <c r="AO12" s="2">
        <v>90</v>
      </c>
      <c r="AP12" s="2">
        <v>90</v>
      </c>
      <c r="AQ12" s="2">
        <v>90</v>
      </c>
      <c r="AR12" s="110">
        <v>1</v>
      </c>
      <c r="AS12" s="2" t="s">
        <v>34</v>
      </c>
      <c r="AT12" s="2" t="s">
        <v>34</v>
      </c>
      <c r="AU12" s="2">
        <v>90</v>
      </c>
      <c r="AV12" s="2">
        <v>90</v>
      </c>
      <c r="AW12" s="39">
        <f t="shared" si="0"/>
        <v>1978</v>
      </c>
    </row>
    <row r="13" spans="1:49" x14ac:dyDescent="0.25">
      <c r="A13" s="28" t="s">
        <v>141</v>
      </c>
      <c r="B13" s="5" t="s">
        <v>733</v>
      </c>
      <c r="C13" s="10" t="s">
        <v>734</v>
      </c>
      <c r="D13" s="7"/>
      <c r="E13" s="32"/>
      <c r="F13" s="32">
        <v>2</v>
      </c>
      <c r="G13" s="32"/>
      <c r="H13" s="39">
        <v>15</v>
      </c>
      <c r="I13" s="158">
        <v>12</v>
      </c>
      <c r="J13" s="39">
        <v>6</v>
      </c>
      <c r="K13" s="32" t="s">
        <v>34</v>
      </c>
      <c r="L13" s="2" t="s">
        <v>34</v>
      </c>
      <c r="M13" s="16" t="s">
        <v>34</v>
      </c>
      <c r="N13" s="2" t="s">
        <v>34</v>
      </c>
      <c r="O13" s="16" t="s">
        <v>34</v>
      </c>
      <c r="P13" s="2" t="s">
        <v>34</v>
      </c>
      <c r="Q13" s="16" t="s">
        <v>34</v>
      </c>
      <c r="R13" s="2" t="s">
        <v>34</v>
      </c>
      <c r="S13" s="7" t="s">
        <v>34</v>
      </c>
      <c r="T13" s="2" t="s">
        <v>34</v>
      </c>
      <c r="U13" s="2" t="s">
        <v>34</v>
      </c>
      <c r="V13" s="2" t="s">
        <v>34</v>
      </c>
      <c r="W13" s="2" t="s">
        <v>34</v>
      </c>
      <c r="X13" s="16" t="s">
        <v>34</v>
      </c>
      <c r="Y13" s="15" t="s">
        <v>34</v>
      </c>
      <c r="Z13" s="2" t="s">
        <v>34</v>
      </c>
      <c r="AA13" s="7" t="s">
        <v>34</v>
      </c>
      <c r="AB13" s="16" t="s">
        <v>34</v>
      </c>
      <c r="AC13" s="15" t="s">
        <v>34</v>
      </c>
      <c r="AD13" s="110">
        <v>15</v>
      </c>
      <c r="AE13" s="110">
        <v>0</v>
      </c>
      <c r="AF13" s="110">
        <v>0</v>
      </c>
      <c r="AG13" s="110">
        <v>45</v>
      </c>
      <c r="AH13" s="110">
        <v>28</v>
      </c>
      <c r="AI13" s="2">
        <v>90</v>
      </c>
      <c r="AJ13" s="2">
        <v>90</v>
      </c>
      <c r="AK13" s="2">
        <v>90</v>
      </c>
      <c r="AL13" s="2">
        <v>90</v>
      </c>
      <c r="AM13" s="2">
        <v>90</v>
      </c>
      <c r="AN13" s="2">
        <v>90</v>
      </c>
      <c r="AO13" s="2">
        <v>90</v>
      </c>
      <c r="AP13" s="2" t="s">
        <v>34</v>
      </c>
      <c r="AQ13" s="110">
        <v>0</v>
      </c>
      <c r="AR13" s="2">
        <v>90</v>
      </c>
      <c r="AS13" s="2">
        <v>90</v>
      </c>
      <c r="AT13" s="2">
        <v>84</v>
      </c>
      <c r="AU13" s="2">
        <v>90</v>
      </c>
      <c r="AV13" s="2">
        <v>37</v>
      </c>
      <c r="AW13" s="39">
        <f t="shared" si="0"/>
        <v>1109</v>
      </c>
    </row>
    <row r="14" spans="1:49" x14ac:dyDescent="0.25">
      <c r="A14" s="28" t="s">
        <v>141</v>
      </c>
      <c r="B14" s="5" t="s">
        <v>909</v>
      </c>
      <c r="C14" s="10" t="s">
        <v>910</v>
      </c>
      <c r="D14" s="7"/>
      <c r="E14" s="32"/>
      <c r="F14" s="32"/>
      <c r="G14" s="32"/>
      <c r="H14" s="39">
        <v>0</v>
      </c>
      <c r="I14" s="158">
        <v>0</v>
      </c>
      <c r="J14" s="39">
        <v>2</v>
      </c>
      <c r="K14" s="32" t="s">
        <v>34</v>
      </c>
      <c r="L14" s="2" t="s">
        <v>34</v>
      </c>
      <c r="M14" s="16" t="s">
        <v>34</v>
      </c>
      <c r="N14" s="2" t="s">
        <v>34</v>
      </c>
      <c r="O14" s="16" t="s">
        <v>34</v>
      </c>
      <c r="P14" s="2" t="s">
        <v>34</v>
      </c>
      <c r="Q14" s="16" t="s">
        <v>34</v>
      </c>
      <c r="R14" s="2" t="s">
        <v>34</v>
      </c>
      <c r="S14" s="7" t="s">
        <v>34</v>
      </c>
      <c r="T14" s="2" t="s">
        <v>34</v>
      </c>
      <c r="U14" s="2" t="s">
        <v>34</v>
      </c>
      <c r="V14" s="2" t="s">
        <v>34</v>
      </c>
      <c r="W14" s="2" t="s">
        <v>34</v>
      </c>
      <c r="X14" s="16" t="s">
        <v>34</v>
      </c>
      <c r="Y14" s="15" t="s">
        <v>34</v>
      </c>
      <c r="Z14" s="2" t="s">
        <v>34</v>
      </c>
      <c r="AA14" s="7" t="s">
        <v>34</v>
      </c>
      <c r="AB14" s="16" t="s">
        <v>34</v>
      </c>
      <c r="AC14" s="15" t="s">
        <v>34</v>
      </c>
      <c r="AD14" s="2" t="s">
        <v>34</v>
      </c>
      <c r="AE14" s="2" t="s">
        <v>34</v>
      </c>
      <c r="AF14" s="2" t="s">
        <v>34</v>
      </c>
      <c r="AG14" s="2" t="s">
        <v>34</v>
      </c>
      <c r="AH14" s="2" t="s">
        <v>34</v>
      </c>
      <c r="AI14" s="2" t="s">
        <v>34</v>
      </c>
      <c r="AJ14" s="2" t="s">
        <v>34</v>
      </c>
      <c r="AK14" s="2" t="s">
        <v>34</v>
      </c>
      <c r="AL14" s="2" t="s">
        <v>34</v>
      </c>
      <c r="AM14" s="2" t="s">
        <v>34</v>
      </c>
      <c r="AN14" s="2" t="s">
        <v>34</v>
      </c>
      <c r="AO14" s="2" t="s">
        <v>34</v>
      </c>
      <c r="AP14" s="2" t="s">
        <v>34</v>
      </c>
      <c r="AQ14" s="2" t="s">
        <v>34</v>
      </c>
      <c r="AR14" s="2" t="s">
        <v>34</v>
      </c>
      <c r="AS14" s="110">
        <v>0</v>
      </c>
      <c r="AT14" s="2" t="s">
        <v>34</v>
      </c>
      <c r="AU14" s="110">
        <v>0</v>
      </c>
      <c r="AV14" s="2" t="s">
        <v>34</v>
      </c>
      <c r="AW14" s="39">
        <f t="shared" si="0"/>
        <v>0</v>
      </c>
    </row>
    <row r="15" spans="1:49" x14ac:dyDescent="0.25">
      <c r="A15" s="28" t="s">
        <v>141</v>
      </c>
      <c r="B15" s="5" t="s">
        <v>342</v>
      </c>
      <c r="C15" s="10" t="s">
        <v>897</v>
      </c>
      <c r="D15" s="7"/>
      <c r="E15" s="32"/>
      <c r="F15" s="32">
        <v>2</v>
      </c>
      <c r="G15" s="32"/>
      <c r="H15" s="39">
        <v>11</v>
      </c>
      <c r="I15" s="158">
        <v>11</v>
      </c>
      <c r="J15" s="39">
        <v>1</v>
      </c>
      <c r="K15" s="32">
        <v>90</v>
      </c>
      <c r="L15" s="2">
        <v>90</v>
      </c>
      <c r="M15" s="16">
        <v>90</v>
      </c>
      <c r="N15" s="2">
        <v>90</v>
      </c>
      <c r="O15" s="110">
        <v>0</v>
      </c>
      <c r="P15" s="2">
        <v>90</v>
      </c>
      <c r="Q15" s="16">
        <v>90</v>
      </c>
      <c r="R15" s="2">
        <v>90</v>
      </c>
      <c r="S15" s="7">
        <v>90</v>
      </c>
      <c r="T15" s="2">
        <v>90</v>
      </c>
      <c r="U15" s="2">
        <v>90</v>
      </c>
      <c r="V15" s="2">
        <v>53</v>
      </c>
      <c r="W15" s="2" t="s">
        <v>34</v>
      </c>
      <c r="X15" s="16" t="s">
        <v>34</v>
      </c>
      <c r="Y15" s="15" t="s">
        <v>34</v>
      </c>
      <c r="Z15" s="2" t="s">
        <v>34</v>
      </c>
      <c r="AA15" s="7" t="s">
        <v>34</v>
      </c>
      <c r="AB15" s="16" t="s">
        <v>34</v>
      </c>
      <c r="AC15" s="15" t="s">
        <v>34</v>
      </c>
      <c r="AD15" s="2" t="s">
        <v>34</v>
      </c>
      <c r="AE15" s="2" t="s">
        <v>34</v>
      </c>
      <c r="AF15" s="2" t="s">
        <v>34</v>
      </c>
      <c r="AG15" s="2" t="s">
        <v>34</v>
      </c>
      <c r="AH15" s="2" t="s">
        <v>34</v>
      </c>
      <c r="AI15" s="2" t="s">
        <v>34</v>
      </c>
      <c r="AJ15" s="2" t="s">
        <v>34</v>
      </c>
      <c r="AK15" s="2" t="s">
        <v>34</v>
      </c>
      <c r="AL15" s="2" t="s">
        <v>34</v>
      </c>
      <c r="AM15" s="2" t="s">
        <v>34</v>
      </c>
      <c r="AN15" s="2" t="s">
        <v>34</v>
      </c>
      <c r="AO15" s="2" t="s">
        <v>34</v>
      </c>
      <c r="AP15" s="2" t="s">
        <v>34</v>
      </c>
      <c r="AQ15" s="2" t="s">
        <v>34</v>
      </c>
      <c r="AR15" s="2" t="s">
        <v>34</v>
      </c>
      <c r="AS15" s="2" t="s">
        <v>34</v>
      </c>
      <c r="AT15" s="2" t="s">
        <v>34</v>
      </c>
      <c r="AU15" s="2" t="s">
        <v>34</v>
      </c>
      <c r="AV15" s="2" t="s">
        <v>34</v>
      </c>
      <c r="AW15" s="39">
        <f t="shared" si="0"/>
        <v>953</v>
      </c>
    </row>
    <row r="16" spans="1:49" x14ac:dyDescent="0.25">
      <c r="A16" s="28" t="s">
        <v>141</v>
      </c>
      <c r="B16" s="5" t="s">
        <v>906</v>
      </c>
      <c r="C16" s="10" t="s">
        <v>907</v>
      </c>
      <c r="D16" s="7"/>
      <c r="E16" s="32"/>
      <c r="F16" s="32"/>
      <c r="G16" s="32"/>
      <c r="H16" s="39">
        <v>5</v>
      </c>
      <c r="I16" s="158">
        <v>5</v>
      </c>
      <c r="J16" s="39">
        <v>0</v>
      </c>
      <c r="K16" s="32" t="s">
        <v>34</v>
      </c>
      <c r="L16" s="2" t="s">
        <v>34</v>
      </c>
      <c r="M16" s="16" t="s">
        <v>34</v>
      </c>
      <c r="N16" s="2" t="s">
        <v>34</v>
      </c>
      <c r="O16" s="16" t="s">
        <v>34</v>
      </c>
      <c r="P16" s="2" t="s">
        <v>34</v>
      </c>
      <c r="Q16" s="16" t="s">
        <v>34</v>
      </c>
      <c r="R16" s="2" t="s">
        <v>34</v>
      </c>
      <c r="S16" s="7" t="s">
        <v>34</v>
      </c>
      <c r="T16" s="2" t="s">
        <v>34</v>
      </c>
      <c r="U16" s="2" t="s">
        <v>34</v>
      </c>
      <c r="V16" s="2" t="s">
        <v>34</v>
      </c>
      <c r="W16" s="2" t="s">
        <v>34</v>
      </c>
      <c r="X16" s="16" t="s">
        <v>34</v>
      </c>
      <c r="Y16" s="15" t="s">
        <v>34</v>
      </c>
      <c r="Z16" s="2" t="s">
        <v>34</v>
      </c>
      <c r="AA16" s="7" t="s">
        <v>34</v>
      </c>
      <c r="AB16" s="16" t="s">
        <v>34</v>
      </c>
      <c r="AC16" s="15" t="s">
        <v>34</v>
      </c>
      <c r="AD16" s="2" t="s">
        <v>34</v>
      </c>
      <c r="AE16" s="2" t="s">
        <v>34</v>
      </c>
      <c r="AF16" s="2" t="s">
        <v>34</v>
      </c>
      <c r="AG16" s="2">
        <v>90</v>
      </c>
      <c r="AH16" s="2" t="s">
        <v>34</v>
      </c>
      <c r="AI16" s="2" t="s">
        <v>34</v>
      </c>
      <c r="AJ16" s="2">
        <v>64</v>
      </c>
      <c r="AK16" s="2" t="s">
        <v>34</v>
      </c>
      <c r="AL16" s="2" t="s">
        <v>34</v>
      </c>
      <c r="AM16" s="2">
        <v>68</v>
      </c>
      <c r="AN16" s="2" t="s">
        <v>34</v>
      </c>
      <c r="AO16" s="2" t="s">
        <v>34</v>
      </c>
      <c r="AP16" s="2">
        <v>80</v>
      </c>
      <c r="AQ16" s="2">
        <v>90</v>
      </c>
      <c r="AR16" s="2" t="s">
        <v>34</v>
      </c>
      <c r="AS16" s="2" t="s">
        <v>34</v>
      </c>
      <c r="AT16" s="2" t="s">
        <v>34</v>
      </c>
      <c r="AU16" s="2" t="s">
        <v>34</v>
      </c>
      <c r="AV16" s="2" t="s">
        <v>34</v>
      </c>
      <c r="AW16" s="39">
        <f t="shared" si="0"/>
        <v>392</v>
      </c>
    </row>
    <row r="17" spans="1:49" x14ac:dyDescent="0.25">
      <c r="A17" s="28" t="s">
        <v>141</v>
      </c>
      <c r="B17" s="5" t="s">
        <v>894</v>
      </c>
      <c r="C17" s="10" t="s">
        <v>920</v>
      </c>
      <c r="D17" s="7">
        <v>2</v>
      </c>
      <c r="E17" s="32"/>
      <c r="F17" s="32">
        <v>5</v>
      </c>
      <c r="G17" s="32">
        <v>1</v>
      </c>
      <c r="H17" s="39">
        <v>35</v>
      </c>
      <c r="I17" s="158">
        <v>35</v>
      </c>
      <c r="J17" s="39">
        <v>0</v>
      </c>
      <c r="K17" s="32">
        <v>90</v>
      </c>
      <c r="L17" s="2">
        <v>90</v>
      </c>
      <c r="M17" s="16">
        <v>90</v>
      </c>
      <c r="N17" s="2">
        <v>90</v>
      </c>
      <c r="O17" s="16">
        <v>90</v>
      </c>
      <c r="P17" s="2">
        <v>90</v>
      </c>
      <c r="Q17" s="2">
        <v>90</v>
      </c>
      <c r="R17" s="2">
        <v>90</v>
      </c>
      <c r="S17" s="7">
        <v>90</v>
      </c>
      <c r="T17" s="2">
        <v>90</v>
      </c>
      <c r="U17" s="2">
        <v>90</v>
      </c>
      <c r="V17" s="2">
        <v>90</v>
      </c>
      <c r="W17" s="2">
        <v>90</v>
      </c>
      <c r="X17" s="16">
        <v>90</v>
      </c>
      <c r="Y17" s="15">
        <v>83</v>
      </c>
      <c r="Z17" s="2" t="s">
        <v>34</v>
      </c>
      <c r="AA17" s="7" t="s">
        <v>34</v>
      </c>
      <c r="AB17" s="16">
        <v>90</v>
      </c>
      <c r="AC17" s="15">
        <v>90</v>
      </c>
      <c r="AD17" s="2">
        <v>90</v>
      </c>
      <c r="AE17" s="2">
        <v>90</v>
      </c>
      <c r="AF17" s="2">
        <v>90</v>
      </c>
      <c r="AG17" s="2">
        <v>90</v>
      </c>
      <c r="AH17" s="2">
        <v>90</v>
      </c>
      <c r="AI17" s="2">
        <v>90</v>
      </c>
      <c r="AJ17" s="2">
        <v>90</v>
      </c>
      <c r="AK17" s="2">
        <v>90</v>
      </c>
      <c r="AL17" s="2">
        <v>90</v>
      </c>
      <c r="AM17" s="2">
        <v>90</v>
      </c>
      <c r="AN17" s="2" t="s">
        <v>34</v>
      </c>
      <c r="AO17" s="2">
        <v>90</v>
      </c>
      <c r="AP17" s="2">
        <v>90</v>
      </c>
      <c r="AQ17" s="2">
        <v>90</v>
      </c>
      <c r="AR17" s="2">
        <v>90</v>
      </c>
      <c r="AS17" s="2">
        <v>90</v>
      </c>
      <c r="AT17" s="2">
        <v>90</v>
      </c>
      <c r="AU17" s="2">
        <v>90</v>
      </c>
      <c r="AV17" s="2">
        <v>90</v>
      </c>
      <c r="AW17" s="39">
        <f t="shared" si="0"/>
        <v>3143</v>
      </c>
    </row>
    <row r="18" spans="1:49" x14ac:dyDescent="0.25">
      <c r="A18" s="29" t="s">
        <v>139</v>
      </c>
      <c r="B18" s="5" t="s">
        <v>587</v>
      </c>
      <c r="C18" s="10" t="s">
        <v>901</v>
      </c>
      <c r="D18" s="7"/>
      <c r="E18" s="32"/>
      <c r="F18" s="32">
        <v>2</v>
      </c>
      <c r="G18" s="32"/>
      <c r="H18" s="39">
        <v>15</v>
      </c>
      <c r="I18" s="158">
        <v>11</v>
      </c>
      <c r="J18" s="39">
        <v>13</v>
      </c>
      <c r="K18" s="32">
        <v>55</v>
      </c>
      <c r="L18" s="2">
        <v>90</v>
      </c>
      <c r="M18" s="16">
        <v>90</v>
      </c>
      <c r="N18" s="2">
        <v>90</v>
      </c>
      <c r="O18" s="16" t="s">
        <v>34</v>
      </c>
      <c r="P18" s="2" t="s">
        <v>34</v>
      </c>
      <c r="Q18" s="2">
        <v>90</v>
      </c>
      <c r="R18" s="2">
        <v>66</v>
      </c>
      <c r="S18" s="7">
        <v>58</v>
      </c>
      <c r="T18" s="2">
        <v>72</v>
      </c>
      <c r="U18" s="2">
        <v>67</v>
      </c>
      <c r="V18" s="2">
        <v>68</v>
      </c>
      <c r="W18" s="2" t="s">
        <v>34</v>
      </c>
      <c r="X18" s="2" t="s">
        <v>34</v>
      </c>
      <c r="Y18" s="2" t="s">
        <v>34</v>
      </c>
      <c r="Z18" s="110">
        <v>10</v>
      </c>
      <c r="AA18" s="110">
        <v>0</v>
      </c>
      <c r="AB18" s="110">
        <v>0</v>
      </c>
      <c r="AC18" s="120">
        <v>0</v>
      </c>
      <c r="AD18" s="2" t="s">
        <v>34</v>
      </c>
      <c r="AE18" s="2" t="s">
        <v>34</v>
      </c>
      <c r="AF18" s="2" t="s">
        <v>34</v>
      </c>
      <c r="AG18" s="2" t="s">
        <v>34</v>
      </c>
      <c r="AH18" s="2" t="s">
        <v>34</v>
      </c>
      <c r="AI18" s="110">
        <v>0</v>
      </c>
      <c r="AJ18" s="2" t="s">
        <v>34</v>
      </c>
      <c r="AK18" s="2" t="s">
        <v>34</v>
      </c>
      <c r="AL18" s="110">
        <v>0</v>
      </c>
      <c r="AM18" s="110">
        <v>15</v>
      </c>
      <c r="AN18" s="110">
        <v>14</v>
      </c>
      <c r="AO18" s="110">
        <v>0</v>
      </c>
      <c r="AP18" s="110">
        <v>0</v>
      </c>
      <c r="AQ18" s="110">
        <v>0</v>
      </c>
      <c r="AR18" s="110">
        <v>0</v>
      </c>
      <c r="AS18" s="110">
        <v>36</v>
      </c>
      <c r="AT18" s="2">
        <v>45</v>
      </c>
      <c r="AU18" s="2" t="s">
        <v>34</v>
      </c>
      <c r="AV18" s="2" t="s">
        <v>34</v>
      </c>
      <c r="AW18" s="39">
        <f t="shared" si="0"/>
        <v>866</v>
      </c>
    </row>
    <row r="19" spans="1:49" x14ac:dyDescent="0.25">
      <c r="A19" s="29" t="s">
        <v>139</v>
      </c>
      <c r="B19" s="5" t="s">
        <v>960</v>
      </c>
      <c r="C19" s="10" t="s">
        <v>483</v>
      </c>
      <c r="D19" s="7">
        <v>4</v>
      </c>
      <c r="E19" s="32"/>
      <c r="F19" s="32">
        <v>6</v>
      </c>
      <c r="G19" s="32">
        <v>1</v>
      </c>
      <c r="H19" s="39">
        <v>31</v>
      </c>
      <c r="I19" s="158">
        <v>17</v>
      </c>
      <c r="J19" s="39">
        <v>14</v>
      </c>
      <c r="K19" s="166">
        <v>35</v>
      </c>
      <c r="L19" s="198">
        <v>29</v>
      </c>
      <c r="M19" s="16">
        <v>67</v>
      </c>
      <c r="N19" s="198">
        <v>28</v>
      </c>
      <c r="O19" s="110">
        <v>34</v>
      </c>
      <c r="P19" s="2">
        <v>90</v>
      </c>
      <c r="Q19" s="110">
        <v>25</v>
      </c>
      <c r="R19" s="110">
        <v>24</v>
      </c>
      <c r="S19" s="110">
        <v>31</v>
      </c>
      <c r="T19" s="2" t="s">
        <v>34</v>
      </c>
      <c r="U19" s="2" t="s">
        <v>34</v>
      </c>
      <c r="V19" s="110">
        <v>22</v>
      </c>
      <c r="W19" s="2">
        <v>90</v>
      </c>
      <c r="X19" s="16">
        <v>74</v>
      </c>
      <c r="Y19" s="15">
        <v>1</v>
      </c>
      <c r="Z19" s="2">
        <v>62</v>
      </c>
      <c r="AA19" s="7">
        <v>89</v>
      </c>
      <c r="AB19" s="2">
        <v>85</v>
      </c>
      <c r="AC19" s="16">
        <v>90</v>
      </c>
      <c r="AD19" s="2">
        <v>90</v>
      </c>
      <c r="AE19" s="2" t="s">
        <v>34</v>
      </c>
      <c r="AF19" s="2">
        <v>90</v>
      </c>
      <c r="AG19" s="2">
        <v>90</v>
      </c>
      <c r="AH19" s="2">
        <v>78</v>
      </c>
      <c r="AI19" s="2" t="s">
        <v>34</v>
      </c>
      <c r="AJ19" s="2">
        <v>90</v>
      </c>
      <c r="AK19" s="2">
        <v>65</v>
      </c>
      <c r="AL19" s="110">
        <v>45</v>
      </c>
      <c r="AM19" s="2">
        <v>75</v>
      </c>
      <c r="AN19" s="2">
        <v>90</v>
      </c>
      <c r="AO19" s="110">
        <v>24</v>
      </c>
      <c r="AP19" s="2" t="s">
        <v>34</v>
      </c>
      <c r="AQ19" s="110">
        <v>17</v>
      </c>
      <c r="AR19" s="2" t="s">
        <v>34</v>
      </c>
      <c r="AS19" s="110">
        <v>21</v>
      </c>
      <c r="AT19" s="2" t="s">
        <v>34</v>
      </c>
      <c r="AU19" s="110">
        <v>24</v>
      </c>
      <c r="AV19" s="110">
        <v>16</v>
      </c>
      <c r="AW19" s="39">
        <f t="shared" si="0"/>
        <v>1691</v>
      </c>
    </row>
    <row r="20" spans="1:49" x14ac:dyDescent="0.25">
      <c r="A20" s="29" t="s">
        <v>139</v>
      </c>
      <c r="B20" s="5" t="s">
        <v>599</v>
      </c>
      <c r="C20" s="10" t="s">
        <v>925</v>
      </c>
      <c r="D20" s="7">
        <v>1</v>
      </c>
      <c r="E20" s="32"/>
      <c r="F20" s="32">
        <v>1</v>
      </c>
      <c r="G20" s="32"/>
      <c r="H20" s="39">
        <v>21</v>
      </c>
      <c r="I20" s="158">
        <v>10</v>
      </c>
      <c r="J20" s="39">
        <v>18</v>
      </c>
      <c r="K20" s="166">
        <v>26</v>
      </c>
      <c r="L20" s="198">
        <v>14</v>
      </c>
      <c r="M20" s="195">
        <v>0</v>
      </c>
      <c r="N20" s="2">
        <v>16</v>
      </c>
      <c r="O20" s="7">
        <v>90</v>
      </c>
      <c r="P20" s="110">
        <v>11</v>
      </c>
      <c r="Q20" s="110">
        <v>10</v>
      </c>
      <c r="R20" s="2">
        <v>90</v>
      </c>
      <c r="S20" s="7">
        <v>79</v>
      </c>
      <c r="T20" s="110">
        <v>24</v>
      </c>
      <c r="U20" s="110">
        <v>0</v>
      </c>
      <c r="V20" s="110">
        <v>0</v>
      </c>
      <c r="W20" s="2">
        <v>90</v>
      </c>
      <c r="X20" s="16">
        <v>63</v>
      </c>
      <c r="Y20" s="15">
        <v>79</v>
      </c>
      <c r="Z20" s="2">
        <v>90</v>
      </c>
      <c r="AA20" s="7" t="s">
        <v>34</v>
      </c>
      <c r="AB20" s="2" t="s">
        <v>34</v>
      </c>
      <c r="AC20" s="16" t="s">
        <v>34</v>
      </c>
      <c r="AD20" s="2" t="s">
        <v>34</v>
      </c>
      <c r="AE20" s="110">
        <v>28</v>
      </c>
      <c r="AF20" s="2" t="s">
        <v>34</v>
      </c>
      <c r="AG20" s="2" t="s">
        <v>34</v>
      </c>
      <c r="AH20" s="110">
        <v>0</v>
      </c>
      <c r="AI20" s="110">
        <v>0</v>
      </c>
      <c r="AJ20" s="110">
        <v>26</v>
      </c>
      <c r="AK20" s="2" t="s">
        <v>34</v>
      </c>
      <c r="AL20" s="2" t="s">
        <v>34</v>
      </c>
      <c r="AM20" s="2" t="s">
        <v>34</v>
      </c>
      <c r="AN20" s="110">
        <v>27</v>
      </c>
      <c r="AO20" s="2" t="s">
        <v>34</v>
      </c>
      <c r="AP20" s="110">
        <v>0</v>
      </c>
      <c r="AQ20" s="110">
        <v>15</v>
      </c>
      <c r="AR20" s="110">
        <v>0</v>
      </c>
      <c r="AS20" s="110">
        <v>36</v>
      </c>
      <c r="AT20" s="110">
        <v>21</v>
      </c>
      <c r="AU20" s="2">
        <v>66</v>
      </c>
      <c r="AV20" s="2">
        <v>74</v>
      </c>
      <c r="AW20" s="39">
        <f t="shared" si="0"/>
        <v>975</v>
      </c>
    </row>
    <row r="21" spans="1:49" x14ac:dyDescent="0.25">
      <c r="A21" s="29" t="s">
        <v>139</v>
      </c>
      <c r="B21" s="5" t="s">
        <v>337</v>
      </c>
      <c r="C21" s="10" t="s">
        <v>930</v>
      </c>
      <c r="D21" s="7">
        <v>5</v>
      </c>
      <c r="E21" s="32"/>
      <c r="F21" s="32">
        <v>10</v>
      </c>
      <c r="G21" s="32">
        <v>1</v>
      </c>
      <c r="H21" s="39">
        <v>33</v>
      </c>
      <c r="I21" s="158">
        <v>31</v>
      </c>
      <c r="J21" s="39">
        <v>2</v>
      </c>
      <c r="K21" s="32">
        <v>64</v>
      </c>
      <c r="L21" s="2">
        <v>76</v>
      </c>
      <c r="M21" s="16" t="s">
        <v>34</v>
      </c>
      <c r="N21" s="2">
        <v>78</v>
      </c>
      <c r="O21" s="7">
        <v>56</v>
      </c>
      <c r="P21" s="2">
        <v>79</v>
      </c>
      <c r="Q21" s="2">
        <v>80</v>
      </c>
      <c r="R21" s="2">
        <v>90</v>
      </c>
      <c r="S21" s="7">
        <v>90</v>
      </c>
      <c r="T21" s="2">
        <v>90</v>
      </c>
      <c r="U21" s="2">
        <v>90</v>
      </c>
      <c r="V21" s="2">
        <v>90</v>
      </c>
      <c r="W21" s="2">
        <v>90</v>
      </c>
      <c r="X21" s="2" t="s">
        <v>34</v>
      </c>
      <c r="Y21" s="2">
        <v>90</v>
      </c>
      <c r="Z21" s="2">
        <v>90</v>
      </c>
      <c r="AA21" s="2">
        <v>80</v>
      </c>
      <c r="AB21" s="2">
        <v>90</v>
      </c>
      <c r="AC21" s="16">
        <v>81</v>
      </c>
      <c r="AD21" s="2">
        <v>90</v>
      </c>
      <c r="AE21" s="2">
        <v>90</v>
      </c>
      <c r="AF21" s="2">
        <v>82</v>
      </c>
      <c r="AG21" s="2">
        <v>90</v>
      </c>
      <c r="AH21" s="2">
        <v>90</v>
      </c>
      <c r="AI21" s="2">
        <v>82</v>
      </c>
      <c r="AJ21" s="2">
        <v>90</v>
      </c>
      <c r="AK21" s="2">
        <v>90</v>
      </c>
      <c r="AL21" s="2">
        <v>90</v>
      </c>
      <c r="AM21" s="2" t="s">
        <v>34</v>
      </c>
      <c r="AN21" s="2" t="s">
        <v>34</v>
      </c>
      <c r="AO21" s="2">
        <v>90</v>
      </c>
      <c r="AP21" s="2">
        <v>84</v>
      </c>
      <c r="AQ21" s="2" t="s">
        <v>34</v>
      </c>
      <c r="AR21" s="2">
        <v>90</v>
      </c>
      <c r="AS21" s="2">
        <v>90</v>
      </c>
      <c r="AT21" s="2">
        <v>90</v>
      </c>
      <c r="AU21" s="110">
        <v>24</v>
      </c>
      <c r="AV21" s="110">
        <v>53</v>
      </c>
      <c r="AW21" s="39">
        <f t="shared" si="0"/>
        <v>2719</v>
      </c>
    </row>
    <row r="22" spans="1:49" x14ac:dyDescent="0.25">
      <c r="A22" s="29" t="s">
        <v>139</v>
      </c>
      <c r="B22" s="5" t="s">
        <v>898</v>
      </c>
      <c r="C22" s="10" t="s">
        <v>932</v>
      </c>
      <c r="D22" s="7">
        <v>7</v>
      </c>
      <c r="E22" s="32"/>
      <c r="F22" s="32">
        <v>2</v>
      </c>
      <c r="G22" s="32">
        <v>1</v>
      </c>
      <c r="H22" s="39">
        <v>36</v>
      </c>
      <c r="I22" s="158">
        <v>36</v>
      </c>
      <c r="J22" s="39">
        <v>0</v>
      </c>
      <c r="K22" s="32">
        <v>79</v>
      </c>
      <c r="L22" s="2">
        <v>61</v>
      </c>
      <c r="M22" s="16">
        <v>90</v>
      </c>
      <c r="N22" s="2">
        <v>62</v>
      </c>
      <c r="O22" s="16">
        <v>90</v>
      </c>
      <c r="P22" s="2">
        <v>90</v>
      </c>
      <c r="Q22" s="16">
        <v>89</v>
      </c>
      <c r="R22" s="2" t="s">
        <v>34</v>
      </c>
      <c r="S22" s="7" t="s">
        <v>34</v>
      </c>
      <c r="T22" s="2">
        <v>90</v>
      </c>
      <c r="U22" s="2">
        <v>74</v>
      </c>
      <c r="V22" s="2">
        <v>90</v>
      </c>
      <c r="W22" s="2">
        <v>90</v>
      </c>
      <c r="X22" s="16">
        <v>90</v>
      </c>
      <c r="Y22" s="15">
        <v>90</v>
      </c>
      <c r="Z22" s="2">
        <v>90</v>
      </c>
      <c r="AA22" s="7">
        <v>90</v>
      </c>
      <c r="AB22" s="2">
        <v>90</v>
      </c>
      <c r="AC22" s="16">
        <v>90</v>
      </c>
      <c r="AD22" s="2">
        <v>90</v>
      </c>
      <c r="AE22" s="2">
        <v>90</v>
      </c>
      <c r="AF22" s="2">
        <v>90</v>
      </c>
      <c r="AG22" s="2">
        <v>80</v>
      </c>
      <c r="AH22" s="2">
        <v>90</v>
      </c>
      <c r="AI22" s="2">
        <v>90</v>
      </c>
      <c r="AJ22" s="2">
        <v>81</v>
      </c>
      <c r="AK22" s="2">
        <v>90</v>
      </c>
      <c r="AL22" s="2">
        <v>90</v>
      </c>
      <c r="AM22" s="2">
        <v>90</v>
      </c>
      <c r="AN22" s="2">
        <v>90</v>
      </c>
      <c r="AO22" s="2">
        <v>90</v>
      </c>
      <c r="AP22" s="2">
        <v>90</v>
      </c>
      <c r="AQ22" s="2">
        <v>75</v>
      </c>
      <c r="AR22" s="2">
        <v>90</v>
      </c>
      <c r="AS22" s="2">
        <v>90</v>
      </c>
      <c r="AT22" s="2">
        <v>69</v>
      </c>
      <c r="AU22" s="2">
        <v>90</v>
      </c>
      <c r="AV22" s="2">
        <v>90</v>
      </c>
      <c r="AW22" s="39">
        <f t="shared" si="0"/>
        <v>3100</v>
      </c>
    </row>
    <row r="23" spans="1:49" x14ac:dyDescent="0.25">
      <c r="A23" s="29" t="s">
        <v>139</v>
      </c>
      <c r="B23" s="5" t="s">
        <v>604</v>
      </c>
      <c r="C23" s="10" t="s">
        <v>795</v>
      </c>
      <c r="D23" s="7">
        <v>1</v>
      </c>
      <c r="E23" s="32"/>
      <c r="F23" s="32">
        <v>1</v>
      </c>
      <c r="G23" s="32"/>
      <c r="H23" s="39">
        <v>13</v>
      </c>
      <c r="I23" s="158">
        <v>8</v>
      </c>
      <c r="J23" s="39">
        <v>22</v>
      </c>
      <c r="K23" s="32" t="s">
        <v>34</v>
      </c>
      <c r="L23" s="2" t="s">
        <v>34</v>
      </c>
      <c r="M23" s="16" t="s">
        <v>34</v>
      </c>
      <c r="N23" s="198">
        <v>0</v>
      </c>
      <c r="O23" s="16" t="s">
        <v>34</v>
      </c>
      <c r="P23" s="2">
        <v>59</v>
      </c>
      <c r="Q23" s="110">
        <v>0</v>
      </c>
      <c r="R23" s="110">
        <v>0</v>
      </c>
      <c r="S23" s="110">
        <v>0</v>
      </c>
      <c r="T23" s="110">
        <v>0</v>
      </c>
      <c r="U23" s="110">
        <v>23</v>
      </c>
      <c r="V23" s="110">
        <v>0</v>
      </c>
      <c r="W23" s="110">
        <v>0</v>
      </c>
      <c r="X23" s="110">
        <v>27</v>
      </c>
      <c r="Y23" s="110">
        <v>0</v>
      </c>
      <c r="Z23" s="110">
        <v>0</v>
      </c>
      <c r="AA23" s="110">
        <v>10</v>
      </c>
      <c r="AB23" s="110">
        <v>0</v>
      </c>
      <c r="AC23" s="16">
        <v>90</v>
      </c>
      <c r="AD23" s="110">
        <v>0</v>
      </c>
      <c r="AE23" s="2" t="s">
        <v>34</v>
      </c>
      <c r="AF23" s="110">
        <v>0</v>
      </c>
      <c r="AG23" s="110">
        <v>10</v>
      </c>
      <c r="AH23" s="2" t="s">
        <v>34</v>
      </c>
      <c r="AI23" s="2">
        <v>86</v>
      </c>
      <c r="AJ23" s="110">
        <v>0</v>
      </c>
      <c r="AK23" s="110">
        <v>0</v>
      </c>
      <c r="AL23" s="110">
        <v>0</v>
      </c>
      <c r="AM23" s="2" t="s">
        <v>34</v>
      </c>
      <c r="AN23" s="2" t="s">
        <v>34</v>
      </c>
      <c r="AO23" s="110">
        <v>0</v>
      </c>
      <c r="AP23" s="110">
        <v>15</v>
      </c>
      <c r="AQ23" s="2">
        <v>90</v>
      </c>
      <c r="AR23" s="2">
        <v>90</v>
      </c>
      <c r="AS23" s="2">
        <v>90</v>
      </c>
      <c r="AT23" s="110">
        <v>0</v>
      </c>
      <c r="AU23" s="2">
        <v>66</v>
      </c>
      <c r="AV23" s="2">
        <v>90</v>
      </c>
      <c r="AW23" s="39">
        <f t="shared" si="0"/>
        <v>746</v>
      </c>
    </row>
    <row r="24" spans="1:49" x14ac:dyDescent="0.25">
      <c r="A24" s="29" t="s">
        <v>139</v>
      </c>
      <c r="B24" s="5" t="s">
        <v>904</v>
      </c>
      <c r="C24" s="207" t="s">
        <v>940</v>
      </c>
      <c r="D24" s="7"/>
      <c r="E24" s="32"/>
      <c r="F24" s="32">
        <v>5</v>
      </c>
      <c r="G24" s="32">
        <v>2</v>
      </c>
      <c r="H24" s="39">
        <v>26</v>
      </c>
      <c r="I24" s="158">
        <v>25</v>
      </c>
      <c r="J24" s="39">
        <v>1</v>
      </c>
      <c r="K24" s="32">
        <v>90</v>
      </c>
      <c r="L24" s="2">
        <v>85</v>
      </c>
      <c r="M24" s="16">
        <v>90</v>
      </c>
      <c r="N24" s="2">
        <v>90</v>
      </c>
      <c r="O24" s="110">
        <v>12</v>
      </c>
      <c r="P24" s="2" t="s">
        <v>34</v>
      </c>
      <c r="Q24" s="16">
        <v>65</v>
      </c>
      <c r="R24" s="2">
        <v>90</v>
      </c>
      <c r="S24" s="7">
        <v>90</v>
      </c>
      <c r="T24" s="2">
        <v>85</v>
      </c>
      <c r="U24" s="2">
        <v>90</v>
      </c>
      <c r="V24" s="2">
        <v>90</v>
      </c>
      <c r="W24" s="2">
        <v>90</v>
      </c>
      <c r="X24" s="16">
        <v>90</v>
      </c>
      <c r="Y24" s="15">
        <v>63</v>
      </c>
      <c r="Z24" s="2">
        <v>90</v>
      </c>
      <c r="AA24" s="7">
        <v>90</v>
      </c>
      <c r="AB24" s="2">
        <v>90</v>
      </c>
      <c r="AC24" s="16" t="s">
        <v>34</v>
      </c>
      <c r="AD24" s="2">
        <v>75</v>
      </c>
      <c r="AE24" s="2">
        <v>90</v>
      </c>
      <c r="AF24" s="2">
        <v>90</v>
      </c>
      <c r="AG24" s="2">
        <v>90</v>
      </c>
      <c r="AH24" s="2">
        <v>62</v>
      </c>
      <c r="AI24" s="2" t="s">
        <v>34</v>
      </c>
      <c r="AJ24" s="2" t="s">
        <v>34</v>
      </c>
      <c r="AK24" s="2" t="s">
        <v>34</v>
      </c>
      <c r="AL24" s="2" t="s">
        <v>34</v>
      </c>
      <c r="AM24" s="2">
        <v>30</v>
      </c>
      <c r="AN24" s="2" t="s">
        <v>34</v>
      </c>
      <c r="AO24" s="2" t="s">
        <v>34</v>
      </c>
      <c r="AP24" s="2">
        <v>75</v>
      </c>
      <c r="AQ24" s="2">
        <v>90</v>
      </c>
      <c r="AR24" s="2" t="s">
        <v>34</v>
      </c>
      <c r="AS24" s="2" t="s">
        <v>34</v>
      </c>
      <c r="AT24" s="2">
        <v>37</v>
      </c>
      <c r="AU24" s="2" t="s">
        <v>34</v>
      </c>
      <c r="AV24" s="2" t="s">
        <v>34</v>
      </c>
      <c r="AW24" s="39">
        <f t="shared" si="0"/>
        <v>2029</v>
      </c>
    </row>
    <row r="25" spans="1:49" x14ac:dyDescent="0.25">
      <c r="A25" s="29" t="s">
        <v>139</v>
      </c>
      <c r="B25" s="5" t="s">
        <v>590</v>
      </c>
      <c r="C25" s="10" t="s">
        <v>692</v>
      </c>
      <c r="D25" s="7"/>
      <c r="E25" s="32"/>
      <c r="F25" s="32"/>
      <c r="G25" s="32"/>
      <c r="H25" s="39">
        <v>11</v>
      </c>
      <c r="I25" s="158">
        <v>2</v>
      </c>
      <c r="J25" s="39">
        <v>21</v>
      </c>
      <c r="K25" s="166">
        <v>0</v>
      </c>
      <c r="L25" s="198">
        <v>5</v>
      </c>
      <c r="M25" s="195">
        <v>23</v>
      </c>
      <c r="N25" s="2" t="s">
        <v>34</v>
      </c>
      <c r="O25" s="110">
        <v>23</v>
      </c>
      <c r="P25" s="2" t="s">
        <v>34</v>
      </c>
      <c r="Q25" s="16" t="s">
        <v>34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34</v>
      </c>
      <c r="W25" s="2" t="s">
        <v>34</v>
      </c>
      <c r="X25" s="110">
        <v>0</v>
      </c>
      <c r="Y25" s="110">
        <v>27</v>
      </c>
      <c r="Z25" s="110">
        <v>0</v>
      </c>
      <c r="AA25" s="110">
        <v>1</v>
      </c>
      <c r="AB25" s="110">
        <v>5</v>
      </c>
      <c r="AC25" s="120">
        <v>9</v>
      </c>
      <c r="AD25" s="110">
        <v>0</v>
      </c>
      <c r="AE25" s="110">
        <v>0</v>
      </c>
      <c r="AF25" s="110">
        <v>8</v>
      </c>
      <c r="AG25" s="110">
        <v>0</v>
      </c>
      <c r="AH25" s="110">
        <v>0</v>
      </c>
      <c r="AI25" s="2" t="s">
        <v>34</v>
      </c>
      <c r="AJ25" s="2">
        <v>90</v>
      </c>
      <c r="AK25" s="110">
        <v>0</v>
      </c>
      <c r="AL25" s="110">
        <v>8</v>
      </c>
      <c r="AM25" s="110">
        <v>0</v>
      </c>
      <c r="AN25" s="2">
        <v>63</v>
      </c>
      <c r="AO25" s="2" t="s">
        <v>34</v>
      </c>
      <c r="AP25" s="2" t="s">
        <v>34</v>
      </c>
      <c r="AQ25" s="2" t="s">
        <v>34</v>
      </c>
      <c r="AR25" s="110">
        <v>0</v>
      </c>
      <c r="AS25" s="110">
        <v>0</v>
      </c>
      <c r="AT25" s="2" t="s">
        <v>34</v>
      </c>
      <c r="AU25" s="2" t="s">
        <v>34</v>
      </c>
      <c r="AV25" s="110">
        <v>0</v>
      </c>
      <c r="AW25" s="39">
        <f t="shared" si="0"/>
        <v>262</v>
      </c>
    </row>
    <row r="26" spans="1:49" x14ac:dyDescent="0.25">
      <c r="A26" s="29" t="s">
        <v>139</v>
      </c>
      <c r="B26" s="5" t="s">
        <v>682</v>
      </c>
      <c r="C26" s="207" t="s">
        <v>942</v>
      </c>
      <c r="D26" s="7"/>
      <c r="E26" s="32"/>
      <c r="F26" s="32">
        <v>1</v>
      </c>
      <c r="G26" s="32"/>
      <c r="H26" s="39">
        <v>13</v>
      </c>
      <c r="I26" s="158">
        <v>8</v>
      </c>
      <c r="J26" s="39">
        <v>12</v>
      </c>
      <c r="K26" s="166">
        <v>11</v>
      </c>
      <c r="L26" s="198">
        <v>0</v>
      </c>
      <c r="M26" s="195">
        <v>0</v>
      </c>
      <c r="N26" s="2" t="s">
        <v>34</v>
      </c>
      <c r="O26" s="16" t="s">
        <v>34</v>
      </c>
      <c r="P26" s="2">
        <v>90</v>
      </c>
      <c r="Q26" s="110">
        <v>0</v>
      </c>
      <c r="R26" s="110">
        <v>14</v>
      </c>
      <c r="S26" s="110">
        <v>32</v>
      </c>
      <c r="T26" s="110">
        <v>5</v>
      </c>
      <c r="U26" s="2" t="s">
        <v>34</v>
      </c>
      <c r="V26" s="2" t="s">
        <v>34</v>
      </c>
      <c r="W26" s="110">
        <v>0</v>
      </c>
      <c r="X26" s="110">
        <v>0</v>
      </c>
      <c r="Y26" s="15" t="s">
        <v>34</v>
      </c>
      <c r="Z26" s="2">
        <v>69</v>
      </c>
      <c r="AA26" s="7">
        <v>90</v>
      </c>
      <c r="AB26" s="2">
        <v>65</v>
      </c>
      <c r="AC26" s="16">
        <v>74</v>
      </c>
      <c r="AD26" s="2">
        <v>61</v>
      </c>
      <c r="AE26" s="2">
        <v>90</v>
      </c>
      <c r="AF26" s="2" t="s">
        <v>34</v>
      </c>
      <c r="AG26" s="2" t="s">
        <v>34</v>
      </c>
      <c r="AH26" s="2" t="s">
        <v>34</v>
      </c>
      <c r="AI26" s="110">
        <v>0</v>
      </c>
      <c r="AJ26" s="2" t="s">
        <v>34</v>
      </c>
      <c r="AK26" s="110">
        <v>0</v>
      </c>
      <c r="AL26" s="2" t="s">
        <v>34</v>
      </c>
      <c r="AM26" s="110">
        <v>22</v>
      </c>
      <c r="AN26" s="2" t="s">
        <v>34</v>
      </c>
      <c r="AO26" s="2">
        <v>66</v>
      </c>
      <c r="AP26" s="2" t="s">
        <v>34</v>
      </c>
      <c r="AQ26" s="2" t="s">
        <v>34</v>
      </c>
      <c r="AR26" s="2" t="s">
        <v>34</v>
      </c>
      <c r="AS26" s="2" t="s">
        <v>34</v>
      </c>
      <c r="AT26" s="2" t="s">
        <v>34</v>
      </c>
      <c r="AU26" s="2" t="s">
        <v>34</v>
      </c>
      <c r="AV26" s="2" t="s">
        <v>34</v>
      </c>
      <c r="AW26" s="39">
        <f t="shared" si="0"/>
        <v>689</v>
      </c>
    </row>
    <row r="27" spans="1:49" x14ac:dyDescent="0.25">
      <c r="A27" s="29" t="s">
        <v>139</v>
      </c>
      <c r="B27" s="5" t="s">
        <v>900</v>
      </c>
      <c r="C27" s="10" t="s">
        <v>943</v>
      </c>
      <c r="D27" s="7">
        <v>1</v>
      </c>
      <c r="E27" s="32"/>
      <c r="F27" s="32">
        <v>2</v>
      </c>
      <c r="G27" s="32"/>
      <c r="H27" s="39">
        <v>17</v>
      </c>
      <c r="I27" s="158">
        <v>7</v>
      </c>
      <c r="J27" s="39">
        <v>17</v>
      </c>
      <c r="K27" s="32" t="s">
        <v>34</v>
      </c>
      <c r="L27" s="2" t="s">
        <v>34</v>
      </c>
      <c r="M27" s="195">
        <v>14</v>
      </c>
      <c r="N27" s="2" t="s">
        <v>34</v>
      </c>
      <c r="O27" s="16" t="s">
        <v>34</v>
      </c>
      <c r="P27" s="110">
        <v>0</v>
      </c>
      <c r="Q27" s="16" t="s">
        <v>34</v>
      </c>
      <c r="R27" s="2" t="s">
        <v>34</v>
      </c>
      <c r="S27" s="110">
        <v>0</v>
      </c>
      <c r="T27" s="2" t="s">
        <v>34</v>
      </c>
      <c r="U27" s="2" t="s">
        <v>34</v>
      </c>
      <c r="V27" s="2" t="s">
        <v>34</v>
      </c>
      <c r="W27" s="110">
        <v>0</v>
      </c>
      <c r="X27" s="110">
        <v>6</v>
      </c>
      <c r="Y27" s="110">
        <v>89</v>
      </c>
      <c r="Z27" s="2" t="s">
        <v>34</v>
      </c>
      <c r="AA27" s="7" t="s">
        <v>34</v>
      </c>
      <c r="AB27" s="2" t="s">
        <v>34</v>
      </c>
      <c r="AC27" s="16" t="s">
        <v>34</v>
      </c>
      <c r="AD27" s="2" t="s">
        <v>34</v>
      </c>
      <c r="AE27" s="110">
        <v>0</v>
      </c>
      <c r="AF27" s="110">
        <v>16</v>
      </c>
      <c r="AG27" s="110">
        <v>0</v>
      </c>
      <c r="AH27" s="110">
        <v>12</v>
      </c>
      <c r="AI27" s="2">
        <v>90</v>
      </c>
      <c r="AJ27" s="110">
        <v>0</v>
      </c>
      <c r="AK27" s="110">
        <v>25</v>
      </c>
      <c r="AL27" s="2">
        <v>90</v>
      </c>
      <c r="AM27" s="2">
        <v>68</v>
      </c>
      <c r="AN27" s="2">
        <v>76</v>
      </c>
      <c r="AO27" s="110">
        <v>18</v>
      </c>
      <c r="AP27" s="110">
        <v>0</v>
      </c>
      <c r="AQ27" s="110">
        <v>65</v>
      </c>
      <c r="AR27" s="110">
        <v>12</v>
      </c>
      <c r="AS27" s="2">
        <v>54</v>
      </c>
      <c r="AT27" s="110">
        <v>45</v>
      </c>
      <c r="AU27" s="2">
        <v>90</v>
      </c>
      <c r="AV27" s="2">
        <v>78</v>
      </c>
      <c r="AW27" s="39">
        <f t="shared" si="0"/>
        <v>848</v>
      </c>
    </row>
    <row r="28" spans="1:49" x14ac:dyDescent="0.25">
      <c r="A28" s="30" t="s">
        <v>140</v>
      </c>
      <c r="B28" s="5" t="s">
        <v>587</v>
      </c>
      <c r="C28" s="10" t="s">
        <v>588</v>
      </c>
      <c r="D28" s="7"/>
      <c r="E28" s="32"/>
      <c r="F28" s="32">
        <v>2</v>
      </c>
      <c r="G28" s="32">
        <v>1</v>
      </c>
      <c r="H28" s="39">
        <v>11</v>
      </c>
      <c r="I28" s="158">
        <v>5</v>
      </c>
      <c r="J28" s="39">
        <v>14</v>
      </c>
      <c r="K28" s="32" t="s">
        <v>34</v>
      </c>
      <c r="L28" s="2" t="s">
        <v>34</v>
      </c>
      <c r="M28" s="16" t="s">
        <v>34</v>
      </c>
      <c r="N28" s="198">
        <v>12</v>
      </c>
      <c r="O28" s="110">
        <v>0</v>
      </c>
      <c r="P28" s="110">
        <v>20</v>
      </c>
      <c r="Q28" s="16" t="s">
        <v>34</v>
      </c>
      <c r="R28" s="2" t="s">
        <v>34</v>
      </c>
      <c r="S28" s="7" t="s">
        <v>34</v>
      </c>
      <c r="T28" s="2" t="s">
        <v>34</v>
      </c>
      <c r="U28" s="110">
        <v>16</v>
      </c>
      <c r="V28" s="2" t="s">
        <v>34</v>
      </c>
      <c r="W28" s="2" t="s">
        <v>34</v>
      </c>
      <c r="X28" s="110">
        <v>0</v>
      </c>
      <c r="Y28" s="15" t="s">
        <v>34</v>
      </c>
      <c r="Z28" s="2" t="s">
        <v>34</v>
      </c>
      <c r="AA28" s="7" t="s">
        <v>34</v>
      </c>
      <c r="AB28" s="2" t="s">
        <v>34</v>
      </c>
      <c r="AC28" s="120">
        <v>0</v>
      </c>
      <c r="AD28" s="110">
        <v>0</v>
      </c>
      <c r="AE28" s="110">
        <v>14</v>
      </c>
      <c r="AF28" s="110">
        <v>0</v>
      </c>
      <c r="AG28" s="110">
        <v>30</v>
      </c>
      <c r="AH28" s="2" t="s">
        <v>34</v>
      </c>
      <c r="AI28" s="2" t="s">
        <v>34</v>
      </c>
      <c r="AJ28" s="110">
        <v>0</v>
      </c>
      <c r="AK28" s="110">
        <v>12</v>
      </c>
      <c r="AL28" s="110">
        <v>0</v>
      </c>
      <c r="AM28" s="2" t="s">
        <v>34</v>
      </c>
      <c r="AN28" s="110">
        <v>0</v>
      </c>
      <c r="AO28" s="2">
        <v>72</v>
      </c>
      <c r="AP28" s="2">
        <v>90</v>
      </c>
      <c r="AQ28" s="2">
        <v>25</v>
      </c>
      <c r="AR28" s="2">
        <v>78</v>
      </c>
      <c r="AS28" s="2">
        <v>54</v>
      </c>
      <c r="AT28" s="2" t="s">
        <v>34</v>
      </c>
      <c r="AU28" s="2" t="s">
        <v>34</v>
      </c>
      <c r="AV28" s="2" t="s">
        <v>34</v>
      </c>
      <c r="AW28" s="39">
        <f t="shared" si="0"/>
        <v>423</v>
      </c>
    </row>
    <row r="29" spans="1:49" x14ac:dyDescent="0.25">
      <c r="A29" s="30" t="s">
        <v>140</v>
      </c>
      <c r="B29" s="5" t="s">
        <v>899</v>
      </c>
      <c r="C29" s="207" t="s">
        <v>946</v>
      </c>
      <c r="D29" s="7">
        <v>5</v>
      </c>
      <c r="E29" s="32"/>
      <c r="F29" s="32">
        <v>4</v>
      </c>
      <c r="G29" s="32">
        <v>2</v>
      </c>
      <c r="H29" s="39">
        <v>23</v>
      </c>
      <c r="I29" s="158">
        <v>16</v>
      </c>
      <c r="J29" s="39">
        <v>13</v>
      </c>
      <c r="K29" s="32" t="s">
        <v>34</v>
      </c>
      <c r="L29" s="198">
        <v>0</v>
      </c>
      <c r="M29" s="7" t="s">
        <v>34</v>
      </c>
      <c r="N29" s="198">
        <v>0</v>
      </c>
      <c r="O29" s="16">
        <v>78</v>
      </c>
      <c r="P29" s="110">
        <v>0</v>
      </c>
      <c r="Q29" s="16" t="s">
        <v>34</v>
      </c>
      <c r="R29" s="110">
        <v>9</v>
      </c>
      <c r="S29" s="7" t="s">
        <v>34</v>
      </c>
      <c r="T29" s="110">
        <v>18</v>
      </c>
      <c r="U29" s="7">
        <v>90</v>
      </c>
      <c r="V29" s="110">
        <v>30</v>
      </c>
      <c r="W29" s="2" t="s">
        <v>34</v>
      </c>
      <c r="X29" s="110">
        <v>16</v>
      </c>
      <c r="Y29" s="15" t="s">
        <v>34</v>
      </c>
      <c r="Z29" s="110">
        <v>21</v>
      </c>
      <c r="AA29" s="7">
        <v>66</v>
      </c>
      <c r="AB29" s="110">
        <v>0</v>
      </c>
      <c r="AC29" s="7" t="s">
        <v>34</v>
      </c>
      <c r="AD29" s="2">
        <v>85</v>
      </c>
      <c r="AE29" s="2">
        <v>76</v>
      </c>
      <c r="AF29" s="2">
        <v>74</v>
      </c>
      <c r="AG29" s="2">
        <v>60</v>
      </c>
      <c r="AH29" s="2">
        <v>90</v>
      </c>
      <c r="AI29" s="2">
        <v>89</v>
      </c>
      <c r="AJ29" s="2">
        <v>90</v>
      </c>
      <c r="AK29" s="2">
        <v>78</v>
      </c>
      <c r="AL29" s="2">
        <v>70</v>
      </c>
      <c r="AM29" s="2">
        <v>90</v>
      </c>
      <c r="AN29" s="110">
        <v>0</v>
      </c>
      <c r="AO29" s="110">
        <v>5</v>
      </c>
      <c r="AP29" s="110">
        <v>10</v>
      </c>
      <c r="AQ29" s="110">
        <v>0</v>
      </c>
      <c r="AR29" s="2">
        <v>50</v>
      </c>
      <c r="AS29" s="2" t="s">
        <v>34</v>
      </c>
      <c r="AT29" s="2">
        <v>71</v>
      </c>
      <c r="AU29" s="2" t="s">
        <v>34</v>
      </c>
      <c r="AV29" s="2">
        <v>72</v>
      </c>
      <c r="AW29" s="39">
        <f t="shared" si="0"/>
        <v>1338</v>
      </c>
    </row>
    <row r="30" spans="1:49" x14ac:dyDescent="0.25">
      <c r="A30" s="30" t="s">
        <v>140</v>
      </c>
      <c r="B30" s="5" t="s">
        <v>893</v>
      </c>
      <c r="C30" s="207" t="s">
        <v>947</v>
      </c>
      <c r="D30" s="7">
        <v>12</v>
      </c>
      <c r="E30" s="32"/>
      <c r="F30" s="32"/>
      <c r="G30" s="32"/>
      <c r="H30" s="39">
        <v>15</v>
      </c>
      <c r="I30" s="158">
        <v>15</v>
      </c>
      <c r="J30" s="39">
        <v>1</v>
      </c>
      <c r="K30" s="32">
        <v>90</v>
      </c>
      <c r="L30" s="2">
        <v>90</v>
      </c>
      <c r="M30" s="7">
        <v>71</v>
      </c>
      <c r="N30" s="2">
        <v>90</v>
      </c>
      <c r="O30" s="110">
        <v>0</v>
      </c>
      <c r="P30" s="2">
        <v>90</v>
      </c>
      <c r="Q30" s="2">
        <v>90</v>
      </c>
      <c r="R30" s="2">
        <v>81</v>
      </c>
      <c r="S30" s="7">
        <v>90</v>
      </c>
      <c r="T30" s="7" t="s">
        <v>34</v>
      </c>
      <c r="U30" s="7" t="s">
        <v>34</v>
      </c>
      <c r="V30" s="7">
        <v>90</v>
      </c>
      <c r="W30" s="2">
        <v>90</v>
      </c>
      <c r="X30" s="16">
        <v>90</v>
      </c>
      <c r="Y30" s="2">
        <v>90</v>
      </c>
      <c r="Z30" s="2">
        <v>90</v>
      </c>
      <c r="AA30" s="7" t="s">
        <v>34</v>
      </c>
      <c r="AB30" s="2">
        <v>90</v>
      </c>
      <c r="AC30" s="7">
        <v>90</v>
      </c>
      <c r="AD30" s="2" t="s">
        <v>34</v>
      </c>
      <c r="AE30" s="2" t="s">
        <v>34</v>
      </c>
      <c r="AF30" s="2" t="s">
        <v>34</v>
      </c>
      <c r="AG30" s="2" t="s">
        <v>34</v>
      </c>
      <c r="AH30" s="2" t="s">
        <v>34</v>
      </c>
      <c r="AI30" s="2" t="s">
        <v>34</v>
      </c>
      <c r="AJ30" s="2" t="s">
        <v>34</v>
      </c>
      <c r="AK30" s="2" t="s">
        <v>34</v>
      </c>
      <c r="AL30" s="2" t="s">
        <v>34</v>
      </c>
      <c r="AM30" s="2" t="s">
        <v>34</v>
      </c>
      <c r="AN30" s="2" t="s">
        <v>34</v>
      </c>
      <c r="AO30" s="2" t="s">
        <v>34</v>
      </c>
      <c r="AP30" s="2" t="s">
        <v>34</v>
      </c>
      <c r="AQ30" s="2" t="s">
        <v>34</v>
      </c>
      <c r="AR30" s="2" t="s">
        <v>34</v>
      </c>
      <c r="AS30" s="2" t="s">
        <v>34</v>
      </c>
      <c r="AT30" s="2" t="s">
        <v>34</v>
      </c>
      <c r="AU30" s="2" t="s">
        <v>34</v>
      </c>
      <c r="AV30" s="2" t="s">
        <v>34</v>
      </c>
      <c r="AW30" s="39">
        <f t="shared" si="0"/>
        <v>1322</v>
      </c>
    </row>
    <row r="31" spans="1:49" x14ac:dyDescent="0.25">
      <c r="A31" s="30" t="s">
        <v>140</v>
      </c>
      <c r="B31" s="204" t="s">
        <v>954</v>
      </c>
      <c r="C31" s="207" t="s">
        <v>955</v>
      </c>
      <c r="D31" s="7">
        <v>3</v>
      </c>
      <c r="E31" s="32"/>
      <c r="F31" s="32">
        <v>2</v>
      </c>
      <c r="G31" s="32"/>
      <c r="H31" s="39">
        <v>36</v>
      </c>
      <c r="I31" s="158">
        <v>30</v>
      </c>
      <c r="J31" s="39">
        <v>8</v>
      </c>
      <c r="K31" s="32">
        <v>90</v>
      </c>
      <c r="L31" s="2">
        <v>90</v>
      </c>
      <c r="M31" s="7">
        <v>76</v>
      </c>
      <c r="N31" s="2">
        <v>74</v>
      </c>
      <c r="O31" s="16">
        <v>90</v>
      </c>
      <c r="P31" s="110">
        <v>31</v>
      </c>
      <c r="Q31" s="16">
        <v>90</v>
      </c>
      <c r="R31" s="2">
        <v>76</v>
      </c>
      <c r="S31" s="7">
        <v>58</v>
      </c>
      <c r="T31" s="7">
        <v>90</v>
      </c>
      <c r="U31" s="7">
        <v>83</v>
      </c>
      <c r="V31" s="7">
        <v>90</v>
      </c>
      <c r="W31" s="110">
        <v>0</v>
      </c>
      <c r="X31" s="16">
        <v>84</v>
      </c>
      <c r="Y31" s="110">
        <v>0</v>
      </c>
      <c r="Z31" s="110">
        <v>28</v>
      </c>
      <c r="AA31" s="110">
        <v>24</v>
      </c>
      <c r="AB31" s="110">
        <v>25</v>
      </c>
      <c r="AC31" s="120">
        <v>16</v>
      </c>
      <c r="AD31" s="110">
        <v>29</v>
      </c>
      <c r="AE31" s="2">
        <v>90</v>
      </c>
      <c r="AF31" s="2">
        <v>90</v>
      </c>
      <c r="AG31" s="2">
        <v>90</v>
      </c>
      <c r="AH31" s="2">
        <v>90</v>
      </c>
      <c r="AI31" s="2">
        <v>90</v>
      </c>
      <c r="AJ31" s="2">
        <v>90</v>
      </c>
      <c r="AK31" s="2">
        <v>90</v>
      </c>
      <c r="AL31" s="2">
        <v>82</v>
      </c>
      <c r="AM31" s="2">
        <v>90</v>
      </c>
      <c r="AN31" s="2">
        <v>90</v>
      </c>
      <c r="AO31" s="2">
        <v>90</v>
      </c>
      <c r="AP31" s="2">
        <v>90</v>
      </c>
      <c r="AQ31" s="2">
        <v>90</v>
      </c>
      <c r="AR31" s="2">
        <v>89</v>
      </c>
      <c r="AS31" s="2">
        <v>90</v>
      </c>
      <c r="AT31" s="2">
        <v>90</v>
      </c>
      <c r="AU31" s="2">
        <v>90</v>
      </c>
      <c r="AV31" s="2">
        <v>90</v>
      </c>
      <c r="AW31" s="39">
        <f t="shared" si="0"/>
        <v>2755</v>
      </c>
    </row>
    <row r="32" spans="1:49" ht="15.75" thickBot="1" x14ac:dyDescent="0.3">
      <c r="A32" s="31" t="s">
        <v>140</v>
      </c>
      <c r="B32" s="6" t="s">
        <v>678</v>
      </c>
      <c r="C32" s="11" t="s">
        <v>679</v>
      </c>
      <c r="D32" s="8">
        <v>2</v>
      </c>
      <c r="E32" s="33"/>
      <c r="F32" s="33"/>
      <c r="G32" s="33"/>
      <c r="H32" s="44">
        <v>22</v>
      </c>
      <c r="I32" s="159">
        <v>8</v>
      </c>
      <c r="J32" s="44">
        <v>22</v>
      </c>
      <c r="K32" s="197">
        <v>0</v>
      </c>
      <c r="L32" s="4" t="s">
        <v>34</v>
      </c>
      <c r="M32" s="128">
        <v>19</v>
      </c>
      <c r="N32" s="4" t="s">
        <v>34</v>
      </c>
      <c r="O32" s="4">
        <v>90</v>
      </c>
      <c r="P32" s="4" t="s">
        <v>34</v>
      </c>
      <c r="Q32" s="128">
        <v>0</v>
      </c>
      <c r="R32" s="4" t="s">
        <v>34</v>
      </c>
      <c r="S32" s="128">
        <v>11</v>
      </c>
      <c r="T32" s="4">
        <v>90</v>
      </c>
      <c r="U32" s="128">
        <v>0</v>
      </c>
      <c r="V32" s="4" t="s">
        <v>34</v>
      </c>
      <c r="W32" s="128">
        <v>0</v>
      </c>
      <c r="X32" s="4" t="s">
        <v>34</v>
      </c>
      <c r="Y32" s="128">
        <v>11</v>
      </c>
      <c r="Z32" s="4" t="s">
        <v>34</v>
      </c>
      <c r="AA32" s="128">
        <v>0</v>
      </c>
      <c r="AB32" s="17" t="s">
        <v>34</v>
      </c>
      <c r="AC32" s="126">
        <v>0</v>
      </c>
      <c r="AD32" s="126">
        <v>5</v>
      </c>
      <c r="AE32" s="126">
        <v>28</v>
      </c>
      <c r="AF32" s="126">
        <v>0</v>
      </c>
      <c r="AG32" s="126">
        <v>0</v>
      </c>
      <c r="AH32" s="126">
        <v>4</v>
      </c>
      <c r="AI32" s="126">
        <v>1</v>
      </c>
      <c r="AJ32" s="126">
        <v>9</v>
      </c>
      <c r="AK32" s="126">
        <v>12</v>
      </c>
      <c r="AL32" s="126">
        <v>20</v>
      </c>
      <c r="AM32" s="126">
        <v>22</v>
      </c>
      <c r="AN32" s="4">
        <v>90</v>
      </c>
      <c r="AO32" s="4">
        <v>90</v>
      </c>
      <c r="AP32" s="4">
        <v>90</v>
      </c>
      <c r="AQ32" s="4">
        <v>73</v>
      </c>
      <c r="AR32" s="126">
        <v>40</v>
      </c>
      <c r="AS32" s="4">
        <v>69</v>
      </c>
      <c r="AT32" s="126">
        <v>6</v>
      </c>
      <c r="AU32" s="4">
        <v>90</v>
      </c>
      <c r="AV32" s="126">
        <v>12</v>
      </c>
      <c r="AW32" s="44">
        <f t="shared" si="0"/>
        <v>882</v>
      </c>
    </row>
    <row r="33" spans="2:49" ht="15.75" thickBot="1" x14ac:dyDescent="0.3">
      <c r="B33" s="21"/>
      <c r="C33" s="19" t="s">
        <v>35</v>
      </c>
      <c r="D33" s="184">
        <v>0</v>
      </c>
      <c r="E33" s="184" t="s">
        <v>171</v>
      </c>
      <c r="F33" s="184" t="s">
        <v>171</v>
      </c>
      <c r="G33" s="193" t="s">
        <v>171</v>
      </c>
      <c r="H33" s="131" t="s">
        <v>364</v>
      </c>
      <c r="I33" s="182" t="s">
        <v>171</v>
      </c>
      <c r="J33" s="182" t="s">
        <v>171</v>
      </c>
      <c r="K33" s="132" t="s">
        <v>171</v>
      </c>
      <c r="L33" s="132" t="s">
        <v>171</v>
      </c>
      <c r="M33" s="132" t="s">
        <v>171</v>
      </c>
      <c r="N33" s="132" t="s">
        <v>171</v>
      </c>
      <c r="O33" s="132" t="s">
        <v>171</v>
      </c>
      <c r="P33" s="132" t="s">
        <v>171</v>
      </c>
      <c r="Q33" s="132" t="s">
        <v>171</v>
      </c>
      <c r="R33" s="132" t="s">
        <v>171</v>
      </c>
      <c r="S33" s="132" t="s">
        <v>171</v>
      </c>
      <c r="T33" s="132" t="s">
        <v>171</v>
      </c>
      <c r="U33" s="132" t="s">
        <v>171</v>
      </c>
      <c r="V33" s="132" t="s">
        <v>171</v>
      </c>
      <c r="W33" s="132" t="s">
        <v>171</v>
      </c>
      <c r="X33" s="132" t="s">
        <v>171</v>
      </c>
      <c r="Y33" s="132" t="s">
        <v>171</v>
      </c>
      <c r="Z33" s="132" t="s">
        <v>171</v>
      </c>
      <c r="AA33" s="132" t="s">
        <v>171</v>
      </c>
      <c r="AB33" s="132" t="s">
        <v>171</v>
      </c>
      <c r="AC33" s="132" t="s">
        <v>171</v>
      </c>
      <c r="AD33" s="132" t="s">
        <v>171</v>
      </c>
      <c r="AE33" s="132" t="s">
        <v>171</v>
      </c>
      <c r="AF33" s="132" t="s">
        <v>171</v>
      </c>
      <c r="AG33" s="132" t="s">
        <v>171</v>
      </c>
      <c r="AH33" s="132" t="s">
        <v>171</v>
      </c>
      <c r="AI33" s="132" t="s">
        <v>171</v>
      </c>
      <c r="AJ33" s="132" t="s">
        <v>171</v>
      </c>
      <c r="AK33" s="132" t="s">
        <v>171</v>
      </c>
      <c r="AL33" s="132" t="s">
        <v>171</v>
      </c>
      <c r="AM33" s="132" t="s">
        <v>171</v>
      </c>
      <c r="AN33" s="132" t="s">
        <v>171</v>
      </c>
      <c r="AO33" s="132" t="s">
        <v>171</v>
      </c>
      <c r="AP33" s="132" t="s">
        <v>171</v>
      </c>
      <c r="AQ33" s="132" t="s">
        <v>171</v>
      </c>
      <c r="AR33" s="132" t="s">
        <v>171</v>
      </c>
      <c r="AS33" s="132" t="s">
        <v>171</v>
      </c>
      <c r="AT33" s="132" t="s">
        <v>171</v>
      </c>
      <c r="AU33" s="132" t="s">
        <v>171</v>
      </c>
      <c r="AV33" s="132" t="s">
        <v>171</v>
      </c>
      <c r="AW33" s="132" t="s">
        <v>171</v>
      </c>
    </row>
    <row r="34" spans="2:49" ht="15.75" thickBot="1" x14ac:dyDescent="0.3">
      <c r="B34" s="21"/>
      <c r="C34" s="34" t="s">
        <v>172</v>
      </c>
      <c r="D34" s="153">
        <f>SUM(D6:D32)</f>
        <v>47</v>
      </c>
      <c r="E34" s="153">
        <f>SUM(E3:E32)</f>
        <v>0</v>
      </c>
      <c r="F34" s="153">
        <f>SUM(F3:F32)</f>
        <v>65</v>
      </c>
      <c r="G34" s="153">
        <f>SUM(G3:G32)</f>
        <v>13</v>
      </c>
      <c r="H34" s="36" t="s">
        <v>364</v>
      </c>
      <c r="I34" s="58" t="s">
        <v>171</v>
      </c>
      <c r="J34" s="58" t="s">
        <v>171</v>
      </c>
      <c r="K34" s="36" t="s">
        <v>171</v>
      </c>
      <c r="L34" s="36" t="s">
        <v>171</v>
      </c>
      <c r="M34" s="36" t="s">
        <v>171</v>
      </c>
      <c r="N34" s="36" t="s">
        <v>171</v>
      </c>
      <c r="O34" s="36" t="s">
        <v>171</v>
      </c>
      <c r="P34" s="36" t="s">
        <v>171</v>
      </c>
      <c r="Q34" s="36" t="s">
        <v>171</v>
      </c>
      <c r="R34" s="36" t="s">
        <v>171</v>
      </c>
      <c r="S34" s="36" t="s">
        <v>171</v>
      </c>
      <c r="T34" s="36" t="s">
        <v>171</v>
      </c>
      <c r="U34" s="36" t="s">
        <v>171</v>
      </c>
      <c r="V34" s="36" t="s">
        <v>171</v>
      </c>
      <c r="W34" s="36" t="s">
        <v>171</v>
      </c>
      <c r="X34" s="36" t="s">
        <v>171</v>
      </c>
      <c r="Y34" s="36" t="s">
        <v>171</v>
      </c>
      <c r="Z34" s="36" t="s">
        <v>171</v>
      </c>
      <c r="AA34" s="36" t="s">
        <v>171</v>
      </c>
      <c r="AB34" s="36" t="s">
        <v>171</v>
      </c>
      <c r="AC34" s="36" t="s">
        <v>171</v>
      </c>
      <c r="AD34" s="36" t="s">
        <v>171</v>
      </c>
      <c r="AE34" s="36" t="s">
        <v>171</v>
      </c>
      <c r="AF34" s="36" t="s">
        <v>171</v>
      </c>
      <c r="AG34" s="36" t="s">
        <v>171</v>
      </c>
      <c r="AH34" s="36" t="s">
        <v>171</v>
      </c>
      <c r="AI34" s="36" t="s">
        <v>171</v>
      </c>
      <c r="AJ34" s="36" t="s">
        <v>171</v>
      </c>
      <c r="AK34" s="36" t="s">
        <v>171</v>
      </c>
      <c r="AL34" s="36" t="s">
        <v>171</v>
      </c>
      <c r="AM34" s="36" t="s">
        <v>171</v>
      </c>
      <c r="AN34" s="36" t="s">
        <v>171</v>
      </c>
      <c r="AO34" s="36" t="s">
        <v>171</v>
      </c>
      <c r="AP34" s="36" t="s">
        <v>171</v>
      </c>
      <c r="AQ34" s="36" t="s">
        <v>171</v>
      </c>
      <c r="AR34" s="36" t="s">
        <v>171</v>
      </c>
      <c r="AS34" s="36" t="s">
        <v>171</v>
      </c>
      <c r="AT34" s="36" t="s">
        <v>171</v>
      </c>
      <c r="AU34" s="36" t="s">
        <v>171</v>
      </c>
      <c r="AV34" s="36" t="s">
        <v>171</v>
      </c>
      <c r="AW34" s="36" t="s">
        <v>171</v>
      </c>
    </row>
    <row r="35" spans="2:49" ht="15.75" thickBot="1" x14ac:dyDescent="0.3">
      <c r="B35" s="21"/>
      <c r="C35" s="20" t="s">
        <v>173</v>
      </c>
      <c r="D35" s="153">
        <f>SUM(D6:D33)</f>
        <v>47</v>
      </c>
      <c r="E35" s="153">
        <f>SUM(E3:E33)</f>
        <v>0</v>
      </c>
      <c r="F35" s="153">
        <f>SUM(F3:F33)</f>
        <v>65</v>
      </c>
      <c r="G35" s="153">
        <f>SUM(G3:G33)</f>
        <v>13</v>
      </c>
      <c r="H35" s="37" t="s">
        <v>364</v>
      </c>
      <c r="I35" s="183" t="s">
        <v>171</v>
      </c>
      <c r="J35" s="183" t="s">
        <v>171</v>
      </c>
      <c r="K35" s="37" t="s">
        <v>171</v>
      </c>
      <c r="L35" s="37" t="s">
        <v>171</v>
      </c>
      <c r="M35" s="37" t="s">
        <v>171</v>
      </c>
      <c r="N35" s="37" t="s">
        <v>171</v>
      </c>
      <c r="O35" s="37" t="s">
        <v>171</v>
      </c>
      <c r="P35" s="37" t="s">
        <v>171</v>
      </c>
      <c r="Q35" s="37" t="s">
        <v>171</v>
      </c>
      <c r="R35" s="37" t="s">
        <v>171</v>
      </c>
      <c r="S35" s="37" t="s">
        <v>171</v>
      </c>
      <c r="T35" s="37" t="s">
        <v>171</v>
      </c>
      <c r="U35" s="37" t="s">
        <v>171</v>
      </c>
      <c r="V35" s="37" t="s">
        <v>171</v>
      </c>
      <c r="W35" s="37" t="s">
        <v>171</v>
      </c>
      <c r="X35" s="37" t="s">
        <v>171</v>
      </c>
      <c r="Y35" s="37" t="s">
        <v>171</v>
      </c>
      <c r="Z35" s="37" t="s">
        <v>171</v>
      </c>
      <c r="AA35" s="37" t="s">
        <v>171</v>
      </c>
      <c r="AB35" s="37" t="s">
        <v>171</v>
      </c>
      <c r="AC35" s="37" t="s">
        <v>171</v>
      </c>
      <c r="AD35" s="37" t="s">
        <v>171</v>
      </c>
      <c r="AE35" s="37" t="s">
        <v>171</v>
      </c>
      <c r="AF35" s="37" t="s">
        <v>171</v>
      </c>
      <c r="AG35" s="37" t="s">
        <v>171</v>
      </c>
      <c r="AH35" s="37" t="s">
        <v>171</v>
      </c>
      <c r="AI35" s="37" t="s">
        <v>171</v>
      </c>
      <c r="AJ35" s="37" t="s">
        <v>171</v>
      </c>
      <c r="AK35" s="37" t="s">
        <v>171</v>
      </c>
      <c r="AL35" s="37" t="s">
        <v>171</v>
      </c>
      <c r="AM35" s="37" t="s">
        <v>171</v>
      </c>
      <c r="AN35" s="37" t="s">
        <v>171</v>
      </c>
      <c r="AO35" s="37" t="s">
        <v>171</v>
      </c>
      <c r="AP35" s="37" t="s">
        <v>171</v>
      </c>
      <c r="AQ35" s="37" t="s">
        <v>171</v>
      </c>
      <c r="AR35" s="37" t="s">
        <v>171</v>
      </c>
      <c r="AS35" s="37" t="s">
        <v>171</v>
      </c>
      <c r="AT35" s="37" t="s">
        <v>171</v>
      </c>
      <c r="AU35" s="37" t="s">
        <v>171</v>
      </c>
      <c r="AV35" s="37" t="s">
        <v>171</v>
      </c>
      <c r="AW35" s="37" t="s">
        <v>171</v>
      </c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D34:D35 AW31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Resultados</vt:lpstr>
      <vt:lpstr>Jugadores</vt:lpstr>
      <vt:lpstr>Estadísticas</vt:lpstr>
      <vt:lpstr>Posición</vt:lpstr>
      <vt:lpstr>Directores Técnicos</vt:lpstr>
      <vt:lpstr>Goleadores</vt:lpstr>
      <vt:lpstr>Penales</vt:lpstr>
      <vt:lpstr>Plantel 2025</vt:lpstr>
      <vt:lpstr>Plantel 2024</vt:lpstr>
      <vt:lpstr>Plantel 2023</vt:lpstr>
      <vt:lpstr>Plantel 2022</vt:lpstr>
      <vt:lpstr>Plantel 2021</vt:lpstr>
      <vt:lpstr>Plantel Transición 2020</vt:lpstr>
      <vt:lpstr>Plantel 2019-2020</vt:lpstr>
      <vt:lpstr>Plantel 2018-2019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Franck</dc:creator>
  <cp:lastModifiedBy>Federico Nicolas</cp:lastModifiedBy>
  <dcterms:created xsi:type="dcterms:W3CDTF">2024-02-19T21:24:11Z</dcterms:created>
  <dcterms:modified xsi:type="dcterms:W3CDTF">2026-01-07T00:06:11Z</dcterms:modified>
</cp:coreProperties>
</file>